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ngjingjing/Desktop/GHG/FIG/FIG3/"/>
    </mc:Choice>
  </mc:AlternateContent>
  <xr:revisionPtr revIDLastSave="0" documentId="13_ncr:1_{CA7CFA8B-22FD-7747-873E-5A087958D42F}" xr6:coauthVersionLast="47" xr6:coauthVersionMax="47" xr10:uidLastSave="{00000000-0000-0000-0000-000000000000}"/>
  <bookViews>
    <workbookView xWindow="4420" yWindow="660" windowWidth="25820" windowHeight="17840" activeTab="5" xr2:uid="{AC41E723-80CD-C04F-8207-2C110BCDC858}"/>
  </bookViews>
  <sheets>
    <sheet name="Fig.2a" sheetId="1" r:id="rId1"/>
    <sheet name="Fig.2b" sheetId="2" r:id="rId2"/>
    <sheet name="Fig.2c" sheetId="3" r:id="rId3"/>
    <sheet name="Fig.2d" sheetId="4" r:id="rId4"/>
    <sheet name="Fig.2e" sheetId="5" r:id="rId5"/>
    <sheet name="Fig.2f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" i="1"/>
  <c r="F30" i="1"/>
  <c r="F31" i="1"/>
  <c r="F32" i="1"/>
  <c r="F33" i="1"/>
  <c r="E30" i="4" l="1"/>
  <c r="F3" i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1" i="4"/>
  <c r="E32" i="4"/>
  <c r="E33" i="4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N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" i="1"/>
</calcChain>
</file>

<file path=xl/sharedStrings.xml><?xml version="1.0" encoding="utf-8"?>
<sst xmlns="http://schemas.openxmlformats.org/spreadsheetml/2006/main" count="402" uniqueCount="128">
  <si>
    <t>Name</t>
  </si>
  <si>
    <t>Crop planting area</t>
  </si>
  <si>
    <t>Food crop planting area</t>
  </si>
  <si>
    <t>Food crop yield</t>
  </si>
  <si>
    <t>Provincial emission intensity</t>
  </si>
  <si>
    <t>year</t>
  </si>
  <si>
    <t>(wt)</t>
  </si>
  <si>
    <t>AH</t>
  </si>
  <si>
    <t>Anhui</t>
  </si>
  <si>
    <t>Beijing</t>
  </si>
  <si>
    <t>CQ</t>
  </si>
  <si>
    <t>Chongqing</t>
  </si>
  <si>
    <t>FJ</t>
  </si>
  <si>
    <t>Fujian</t>
  </si>
  <si>
    <t>GS</t>
  </si>
  <si>
    <t>Gansu</t>
  </si>
  <si>
    <t>GD</t>
  </si>
  <si>
    <t>Guangdong</t>
  </si>
  <si>
    <t>GX</t>
  </si>
  <si>
    <t>Guangxi</t>
  </si>
  <si>
    <t>GZ</t>
  </si>
  <si>
    <t>Guizhou</t>
  </si>
  <si>
    <t>HAN</t>
  </si>
  <si>
    <t>Hainan</t>
  </si>
  <si>
    <t>HE</t>
  </si>
  <si>
    <t>Hebei</t>
  </si>
  <si>
    <t>HLJ</t>
  </si>
  <si>
    <t>Heilongjiang</t>
  </si>
  <si>
    <t>HEN</t>
  </si>
  <si>
    <t>Henan</t>
  </si>
  <si>
    <t>HUB</t>
  </si>
  <si>
    <t>Hubei</t>
  </si>
  <si>
    <t>HUN</t>
  </si>
  <si>
    <t>Hunan</t>
  </si>
  <si>
    <t>NMG</t>
  </si>
  <si>
    <t>Inner Mongolia</t>
  </si>
  <si>
    <t>JS</t>
  </si>
  <si>
    <t>Jiangsu</t>
  </si>
  <si>
    <t>JX</t>
  </si>
  <si>
    <t>Jiangxi</t>
  </si>
  <si>
    <t>JL</t>
  </si>
  <si>
    <t>Jilin</t>
  </si>
  <si>
    <t>LN</t>
  </si>
  <si>
    <t>Liaoning</t>
  </si>
  <si>
    <t>NX</t>
  </si>
  <si>
    <t>Ningxia</t>
  </si>
  <si>
    <t>QH</t>
  </si>
  <si>
    <t>Qinghai</t>
  </si>
  <si>
    <t>SN</t>
  </si>
  <si>
    <t>Shaanxi</t>
  </si>
  <si>
    <t>SD</t>
  </si>
  <si>
    <t>Shandong</t>
  </si>
  <si>
    <t>SH</t>
  </si>
  <si>
    <t>Shanghai</t>
  </si>
  <si>
    <t>SX</t>
  </si>
  <si>
    <t>Shanxi</t>
  </si>
  <si>
    <t>SC</t>
  </si>
  <si>
    <t>Sichuan</t>
  </si>
  <si>
    <t>TJ</t>
  </si>
  <si>
    <t>Tianjin</t>
  </si>
  <si>
    <t>XZ</t>
  </si>
  <si>
    <t>Tibet</t>
  </si>
  <si>
    <t>XJ</t>
  </si>
  <si>
    <t>Xinjiang</t>
  </si>
  <si>
    <t>YN</t>
  </si>
  <si>
    <t>Yunnan</t>
  </si>
  <si>
    <t>ZJ</t>
  </si>
  <si>
    <t>Zhejiang</t>
  </si>
  <si>
    <t>AH</t>
    <phoneticPr fontId="1" type="noConversion"/>
  </si>
  <si>
    <t>BJ</t>
    <phoneticPr fontId="1" type="noConversion"/>
  </si>
  <si>
    <t>CQ</t>
    <phoneticPr fontId="1" type="noConversion"/>
  </si>
  <si>
    <t>GS</t>
    <phoneticPr fontId="1" type="noConversion"/>
  </si>
  <si>
    <r>
      <rPr>
        <sz val="12"/>
        <color theme="1"/>
        <rFont val="等线"/>
        <family val="2"/>
        <charset val="134"/>
      </rPr>
      <t>（</t>
    </r>
    <r>
      <rPr>
        <sz val="12"/>
        <color theme="1"/>
        <rFont val="Times New Roman"/>
        <family val="1"/>
      </rPr>
      <t>kha</t>
    </r>
    <r>
      <rPr>
        <sz val="12"/>
        <color theme="1"/>
        <rFont val="等线"/>
        <family val="2"/>
        <charset val="134"/>
      </rPr>
      <t>）</t>
    </r>
  </si>
  <si>
    <t>FJ</t>
    <phoneticPr fontId="1" type="noConversion"/>
  </si>
  <si>
    <t>GD</t>
    <phoneticPr fontId="1" type="noConversion"/>
  </si>
  <si>
    <t>GX</t>
    <phoneticPr fontId="1" type="noConversion"/>
  </si>
  <si>
    <t>GZ</t>
    <phoneticPr fontId="1" type="noConversion"/>
  </si>
  <si>
    <t>HAN</t>
    <phoneticPr fontId="1" type="noConversion"/>
  </si>
  <si>
    <t>HE</t>
    <phoneticPr fontId="1" type="noConversion"/>
  </si>
  <si>
    <t>HLJ</t>
    <phoneticPr fontId="1" type="noConversion"/>
  </si>
  <si>
    <t>HEN</t>
    <phoneticPr fontId="1" type="noConversion"/>
  </si>
  <si>
    <t>HUB</t>
    <phoneticPr fontId="1" type="noConversion"/>
  </si>
  <si>
    <t>HUN</t>
    <phoneticPr fontId="1" type="noConversion"/>
  </si>
  <si>
    <t>NMG</t>
    <phoneticPr fontId="1" type="noConversion"/>
  </si>
  <si>
    <t>JS</t>
    <phoneticPr fontId="1" type="noConversion"/>
  </si>
  <si>
    <t>JX</t>
    <phoneticPr fontId="1" type="noConversion"/>
  </si>
  <si>
    <t>JL</t>
    <phoneticPr fontId="1" type="noConversion"/>
  </si>
  <si>
    <t>LN</t>
    <phoneticPr fontId="1" type="noConversion"/>
  </si>
  <si>
    <t>NX</t>
    <phoneticPr fontId="1" type="noConversion"/>
  </si>
  <si>
    <t>QH</t>
    <phoneticPr fontId="1" type="noConversion"/>
  </si>
  <si>
    <t>SN</t>
    <phoneticPr fontId="1" type="noConversion"/>
  </si>
  <si>
    <t>SD</t>
    <phoneticPr fontId="1" type="noConversion"/>
  </si>
  <si>
    <t>SH</t>
    <phoneticPr fontId="1" type="noConversion"/>
  </si>
  <si>
    <t>SX</t>
    <phoneticPr fontId="1" type="noConversion"/>
  </si>
  <si>
    <t>SC</t>
    <phoneticPr fontId="1" type="noConversion"/>
  </si>
  <si>
    <t>TJ</t>
    <phoneticPr fontId="1" type="noConversion"/>
  </si>
  <si>
    <t>XJ</t>
    <phoneticPr fontId="1" type="noConversion"/>
  </si>
  <si>
    <t>Dryland area</t>
  </si>
  <si>
    <t>Paddy field area</t>
    <phoneticPr fontId="1" type="noConversion"/>
  </si>
  <si>
    <t>Proportion of dryland area</t>
  </si>
  <si>
    <t>%</t>
  </si>
  <si>
    <t>%</t>
    <phoneticPr fontId="1" type="noConversion"/>
  </si>
  <si>
    <t>kha</t>
  </si>
  <si>
    <t>kha</t>
    <phoneticPr fontId="1" type="noConversion"/>
  </si>
  <si>
    <t>Mt</t>
    <phoneticPr fontId="1" type="noConversion"/>
  </si>
  <si>
    <t>t/ha</t>
    <phoneticPr fontId="1" type="noConversion"/>
  </si>
  <si>
    <t>year</t>
    <phoneticPr fontId="1" type="noConversion"/>
  </si>
  <si>
    <t>Food crop planting area</t>
    <phoneticPr fontId="1" type="noConversion"/>
  </si>
  <si>
    <t>Proportion of dryland area</t>
    <phoneticPr fontId="1" type="noConversion"/>
  </si>
  <si>
    <t>N2O emissions</t>
    <phoneticPr fontId="7" type="noConversion"/>
  </si>
  <si>
    <t>CH4 emissions</t>
  </si>
  <si>
    <t>CO2 emissions</t>
  </si>
  <si>
    <t>2023GHG emissions</t>
    <phoneticPr fontId="1" type="noConversion"/>
  </si>
  <si>
    <t>2010Food crop planting area</t>
    <phoneticPr fontId="1" type="noConversion"/>
  </si>
  <si>
    <t>2023Food crop planting area</t>
    <phoneticPr fontId="1" type="noConversion"/>
  </si>
  <si>
    <r>
      <rPr>
        <sz val="12"/>
        <color rgb="FF000000"/>
        <rFont val="等线"/>
        <family val="4"/>
        <charset val="134"/>
      </rPr>
      <t>（</t>
    </r>
    <r>
      <rPr>
        <sz val="12"/>
        <color rgb="FF000000"/>
        <rFont val="Times New Roman"/>
        <family val="1"/>
      </rPr>
      <t>kha</t>
    </r>
    <r>
      <rPr>
        <sz val="12"/>
        <color rgb="FF000000"/>
        <rFont val="等线"/>
        <family val="4"/>
        <charset val="134"/>
      </rPr>
      <t>）</t>
    </r>
  </si>
  <si>
    <t>2023Food crop yield</t>
    <phoneticPr fontId="1" type="noConversion"/>
  </si>
  <si>
    <t>2010Food crop yield</t>
    <phoneticPr fontId="1" type="noConversion"/>
  </si>
  <si>
    <t>Delta_Yield</t>
    <phoneticPr fontId="1" type="noConversion"/>
  </si>
  <si>
    <t xml:space="preserve">Delta_Area </t>
    <phoneticPr fontId="1" type="noConversion"/>
  </si>
  <si>
    <t>Name2</t>
    <phoneticPr fontId="1" type="noConversion"/>
  </si>
  <si>
    <t>2010GHG emissions</t>
    <phoneticPr fontId="1" type="noConversion"/>
  </si>
  <si>
    <t>BJ</t>
    <phoneticPr fontId="13" type="noConversion"/>
  </si>
  <si>
    <t>Net GHG emissions</t>
    <phoneticPr fontId="1" type="noConversion"/>
  </si>
  <si>
    <t xml:space="preserve"> Net Emission intensity</t>
    <phoneticPr fontId="1" type="noConversion"/>
  </si>
  <si>
    <t>Total</t>
    <phoneticPr fontId="7" type="noConversion"/>
  </si>
  <si>
    <t>BJ</t>
  </si>
  <si>
    <t>Delta_Net_GHG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</si>
</sst>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_ "/>
  </numFmts>
  <fonts count="15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000000"/>
      <name val="SimSun"/>
      <family val="3"/>
      <charset val="134"/>
    </font>
    <font>
      <sz val="12"/>
      <color theme="1"/>
      <name val="Times New Roman"/>
      <family val="1"/>
    </font>
    <font>
      <sz val="12"/>
      <color theme="1"/>
      <name val="等线"/>
      <family val="2"/>
      <charset val="134"/>
    </font>
    <font>
      <sz val="12"/>
      <color rgb="FF000000"/>
      <name val="Times New Roman"/>
      <family val="1"/>
    </font>
    <font>
      <sz val="11"/>
      <color rgb="FFFF0000"/>
      <name val="Times New Roman"/>
      <family val="1"/>
    </font>
    <font>
      <sz val="9"/>
      <name val="等线"/>
      <family val="3"/>
      <charset val="134"/>
      <scheme val="minor"/>
    </font>
    <font>
      <sz val="12"/>
      <color rgb="FF000000"/>
      <name val="等线"/>
      <family val="4"/>
      <charset val="134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0"/>
      <color rgb="FF000000"/>
      <name val="PingFang SC"/>
      <family val="2"/>
      <charset val="134"/>
    </font>
    <font>
      <sz val="12"/>
      <color theme="1"/>
      <name val="Helvetica"/>
      <family val="2"/>
    </font>
    <font>
      <sz val="9"/>
      <name val="等线"/>
      <family val="4"/>
      <charset val="134"/>
      <scheme val="minor"/>
    </font>
    <font>
      <sz val="12"/>
      <color rgb="FF333333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40" fontId="3" fillId="0" borderId="0" xfId="0" applyNumberFormat="1" applyFont="1" applyAlignment="1">
      <alignment horizontal="center" vertical="center"/>
    </xf>
    <xf numFmtId="40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3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7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7" fontId="5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177" fontId="3" fillId="0" borderId="0" xfId="0" applyNumberFormat="1" applyFont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9" fillId="0" borderId="0" xfId="0" applyFont="1">
      <alignment vertical="center"/>
    </xf>
    <xf numFmtId="0" fontId="12" fillId="0" borderId="0" xfId="0" applyFont="1">
      <alignment vertical="center"/>
    </xf>
    <xf numFmtId="176" fontId="0" fillId="0" borderId="0" xfId="0" applyNumberFormat="1" applyAlignment="1">
      <alignment horizontal="center" vertical="center"/>
    </xf>
    <xf numFmtId="176" fontId="5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0" fillId="0" borderId="0" xfId="0" applyNumberFormat="1">
      <alignment vertical="center"/>
    </xf>
    <xf numFmtId="176" fontId="10" fillId="0" borderId="0" xfId="0" applyNumberFormat="1" applyFont="1">
      <alignment vertical="center"/>
    </xf>
    <xf numFmtId="176" fontId="11" fillId="0" borderId="0" xfId="0" applyNumberFormat="1" applyFont="1">
      <alignment vertical="center"/>
    </xf>
    <xf numFmtId="176" fontId="9" fillId="0" borderId="0" xfId="0" applyNumberFormat="1" applyFont="1">
      <alignment vertical="center"/>
    </xf>
    <xf numFmtId="176" fontId="2" fillId="0" borderId="0" xfId="0" applyNumberFormat="1" applyFont="1" applyAlignment="1">
      <alignment horizontal="center" vertical="center"/>
    </xf>
    <xf numFmtId="176" fontId="12" fillId="0" borderId="0" xfId="0" applyNumberFormat="1" applyFont="1">
      <alignment vertical="center"/>
    </xf>
    <xf numFmtId="176" fontId="5" fillId="0" borderId="0" xfId="0" applyNumberFormat="1" applyFont="1" applyAlignment="1">
      <alignment horizontal="center" vertical="center"/>
    </xf>
    <xf numFmtId="176" fontId="3" fillId="0" borderId="0" xfId="0" applyNumberFormat="1" applyFont="1" applyAlignment="1"/>
    <xf numFmtId="0" fontId="14" fillId="0" borderId="0" xfId="0" applyFont="1" applyAlignment="1"/>
    <xf numFmtId="0" fontId="9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/>
    <xf numFmtId="0" fontId="5" fillId="0" borderId="0" xfId="0" applyFont="1">
      <alignment vertical="center"/>
    </xf>
    <xf numFmtId="0" fontId="14" fillId="0" borderId="0" xfId="0" applyFont="1" applyAlignment="1">
      <alignment horizontal="center"/>
    </xf>
    <xf numFmtId="176" fontId="3" fillId="0" borderId="0" xfId="0" applyNumberFormat="1" applyFon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A72E-9A3D-5746-90FE-D91178137DE0}">
  <dimension ref="A1:O33"/>
  <sheetViews>
    <sheetView workbookViewId="0">
      <selection activeCell="C40" sqref="C40"/>
    </sheetView>
  </sheetViews>
  <sheetFormatPr baseColWidth="10" defaultRowHeight="16"/>
  <cols>
    <col min="1" max="1" width="10.83203125" style="1"/>
    <col min="2" max="2" width="15" style="1" bestFit="1" customWidth="1"/>
    <col min="3" max="3" width="21.6640625" style="1" bestFit="1" customWidth="1"/>
    <col min="4" max="4" width="20.6640625" style="1" customWidth="1"/>
    <col min="5" max="5" width="17" style="1" bestFit="1" customWidth="1"/>
    <col min="6" max="6" width="10.83203125" style="3"/>
    <col min="7" max="7" width="10.83203125" style="1"/>
    <col min="8" max="8" width="17" style="1" bestFit="1" customWidth="1"/>
    <col min="9" max="9" width="21.6640625" style="1" bestFit="1" customWidth="1"/>
    <col min="10" max="10" width="14.6640625" style="1" bestFit="1" customWidth="1"/>
    <col min="11" max="11" width="14.83203125" style="1" bestFit="1" customWidth="1"/>
    <col min="12" max="12" width="12.1640625" style="1" bestFit="1" customWidth="1"/>
    <col min="13" max="13" width="24" style="1" bestFit="1" customWidth="1"/>
    <col min="14" max="16384" width="10.83203125" style="1"/>
  </cols>
  <sheetData>
    <row r="1" spans="1:15">
      <c r="A1" s="1" t="s">
        <v>0</v>
      </c>
      <c r="B1" s="1" t="s">
        <v>123</v>
      </c>
      <c r="C1" s="1" t="s">
        <v>107</v>
      </c>
      <c r="D1" s="1" t="s">
        <v>108</v>
      </c>
      <c r="E1" s="1" t="s">
        <v>124</v>
      </c>
      <c r="H1" s="1" t="s">
        <v>1</v>
      </c>
      <c r="I1" s="1" t="s">
        <v>2</v>
      </c>
      <c r="J1" s="1" t="s">
        <v>3</v>
      </c>
      <c r="K1" s="1" t="s">
        <v>98</v>
      </c>
      <c r="L1" s="1" t="s">
        <v>97</v>
      </c>
      <c r="M1" s="1" t="s">
        <v>99</v>
      </c>
    </row>
    <row r="2" spans="1:15">
      <c r="A2" s="1" t="s">
        <v>106</v>
      </c>
      <c r="B2" s="1" t="s">
        <v>104</v>
      </c>
      <c r="C2" s="1" t="s">
        <v>103</v>
      </c>
      <c r="D2" s="1" t="s">
        <v>101</v>
      </c>
      <c r="E2" s="1" t="s">
        <v>105</v>
      </c>
      <c r="H2" s="1" t="s">
        <v>72</v>
      </c>
      <c r="I2" s="1" t="s">
        <v>72</v>
      </c>
      <c r="J2" s="1" t="s">
        <v>6</v>
      </c>
      <c r="K2" s="1" t="s">
        <v>72</v>
      </c>
      <c r="L2" s="1" t="s">
        <v>72</v>
      </c>
    </row>
    <row r="3" spans="1:15">
      <c r="A3" s="34" t="s">
        <v>7</v>
      </c>
      <c r="B3" s="33">
        <v>58.942717461710295</v>
      </c>
      <c r="C3" s="10">
        <v>7334.46</v>
      </c>
      <c r="D3" s="1">
        <v>61.955119427962899</v>
      </c>
      <c r="E3" s="1">
        <f>B3*100000/1000/C3</f>
        <v>0.80364086056383555</v>
      </c>
      <c r="F3" s="3">
        <f>B3*1000000/C3/1000</f>
        <v>8.0364086056383552</v>
      </c>
      <c r="G3" s="1" t="s">
        <v>8</v>
      </c>
      <c r="H3" s="1">
        <v>9043.9599999999991</v>
      </c>
      <c r="I3" s="1">
        <v>7334.46</v>
      </c>
      <c r="J3" s="1">
        <v>4150.75</v>
      </c>
      <c r="K3" s="1">
        <v>2500.69</v>
      </c>
      <c r="L3" s="1">
        <v>4072.31</v>
      </c>
      <c r="M3" s="1">
        <f>L3/(K3+L3)*100</f>
        <v>61.955119427962877</v>
      </c>
      <c r="N3" s="1">
        <f>B3*1000/I3</f>
        <v>8.0364086056383552</v>
      </c>
      <c r="O3" s="1">
        <v>63.754251388123301</v>
      </c>
    </row>
    <row r="4" spans="1:15">
      <c r="A4" s="10" t="s">
        <v>122</v>
      </c>
      <c r="B4" s="33">
        <v>0.72296990075272094</v>
      </c>
      <c r="C4" s="10">
        <v>89.47</v>
      </c>
      <c r="D4" s="2">
        <v>99.594893199116129</v>
      </c>
      <c r="E4" s="1">
        <f t="shared" ref="E4:E33" si="0">B4*100000/1000/C4</f>
        <v>0.80805845618947247</v>
      </c>
      <c r="F4" s="3">
        <f t="shared" ref="F4:F33" si="1">B4*1000000/C4/1000</f>
        <v>8.0805845618947227</v>
      </c>
      <c r="G4" s="1" t="s">
        <v>9</v>
      </c>
      <c r="H4" s="1">
        <v>158.97999999999999</v>
      </c>
      <c r="I4" s="1">
        <v>89.47</v>
      </c>
      <c r="J4" s="1">
        <v>47.78</v>
      </c>
      <c r="K4" s="2">
        <v>0.33</v>
      </c>
      <c r="L4" s="2">
        <v>81.13</v>
      </c>
      <c r="M4" s="1">
        <f t="shared" ref="M4:M33" si="2">L4/(K4+L4)*100</f>
        <v>99.594893199116129</v>
      </c>
      <c r="O4" s="1">
        <v>0.63927810489742598</v>
      </c>
    </row>
    <row r="5" spans="1:15">
      <c r="A5" s="34" t="s">
        <v>10</v>
      </c>
      <c r="B5" s="33">
        <v>10.723820296945991</v>
      </c>
      <c r="C5" s="10">
        <v>2025.93</v>
      </c>
      <c r="D5" s="1">
        <v>41.559481240326626</v>
      </c>
      <c r="E5" s="1">
        <f t="shared" si="0"/>
        <v>0.52932827377777081</v>
      </c>
      <c r="F5" s="3">
        <f t="shared" si="1"/>
        <v>5.2932827377777079</v>
      </c>
      <c r="G5" s="1" t="s">
        <v>11</v>
      </c>
      <c r="H5" s="1">
        <v>3506.19</v>
      </c>
      <c r="I5" s="1">
        <v>2025.93</v>
      </c>
      <c r="J5" s="1">
        <v>1095.9000000000001</v>
      </c>
      <c r="K5" s="1">
        <v>657</v>
      </c>
      <c r="L5" s="1">
        <v>467.22</v>
      </c>
      <c r="M5" s="1">
        <f t="shared" si="2"/>
        <v>41.559481240326626</v>
      </c>
      <c r="O5" s="1">
        <v>11.205703806285699</v>
      </c>
    </row>
    <row r="6" spans="1:15">
      <c r="A6" s="34" t="s">
        <v>12</v>
      </c>
      <c r="B6" s="33">
        <v>7.6487337451780926</v>
      </c>
      <c r="C6" s="10">
        <v>841.1</v>
      </c>
      <c r="D6" s="1">
        <v>5.6727238489784382</v>
      </c>
      <c r="E6" s="1">
        <f t="shared" si="0"/>
        <v>0.90937269589562386</v>
      </c>
      <c r="F6" s="3">
        <f t="shared" si="1"/>
        <v>9.0937269589562391</v>
      </c>
      <c r="G6" s="1" t="s">
        <v>13</v>
      </c>
      <c r="H6" s="1">
        <v>1712.25</v>
      </c>
      <c r="I6" s="1">
        <v>841.1</v>
      </c>
      <c r="J6" s="1">
        <v>510.97</v>
      </c>
      <c r="K6" s="1">
        <v>601.11</v>
      </c>
      <c r="L6" s="1">
        <v>36.15</v>
      </c>
      <c r="M6" s="1">
        <f t="shared" si="2"/>
        <v>5.6727238489784382</v>
      </c>
      <c r="O6" s="1">
        <v>8.4311774242604098</v>
      </c>
    </row>
    <row r="7" spans="1:15">
      <c r="A7" s="34" t="s">
        <v>16</v>
      </c>
      <c r="B7" s="33">
        <v>25.221590456396985</v>
      </c>
      <c r="C7" s="10">
        <v>2710.93</v>
      </c>
      <c r="D7" s="1">
        <v>99.87565228251367</v>
      </c>
      <c r="E7" s="1">
        <f t="shared" si="0"/>
        <v>0.9303667175617587</v>
      </c>
      <c r="F7" s="3">
        <f t="shared" si="1"/>
        <v>9.303667175617587</v>
      </c>
      <c r="G7" s="1" t="s">
        <v>15</v>
      </c>
      <c r="H7" s="1">
        <v>4139.59</v>
      </c>
      <c r="I7" s="1">
        <v>2710.93</v>
      </c>
      <c r="J7" s="1">
        <v>1272.9000000000001</v>
      </c>
      <c r="K7" s="1">
        <v>2.29</v>
      </c>
      <c r="L7" s="1">
        <v>1839.32</v>
      </c>
      <c r="M7" s="1">
        <f t="shared" si="2"/>
        <v>99.87565228251367</v>
      </c>
      <c r="O7" s="1">
        <v>9.1647128290918296</v>
      </c>
    </row>
    <row r="8" spans="1:15">
      <c r="A8" s="34" t="s">
        <v>14</v>
      </c>
      <c r="B8" s="33">
        <v>10.127456556009038</v>
      </c>
      <c r="C8" s="10">
        <v>2229.5100000000002</v>
      </c>
      <c r="D8" s="1">
        <v>6.8638842174998729</v>
      </c>
      <c r="E8" s="1">
        <f t="shared" si="0"/>
        <v>0.45424584576920651</v>
      </c>
      <c r="F8" s="3">
        <f t="shared" si="1"/>
        <v>4.5424584576920664</v>
      </c>
      <c r="G8" s="1" t="s">
        <v>17</v>
      </c>
      <c r="H8" s="1">
        <v>4587.2700000000004</v>
      </c>
      <c r="I8" s="1">
        <v>2229.5100000000002</v>
      </c>
      <c r="J8" s="1">
        <v>1285.19</v>
      </c>
      <c r="K8" s="1">
        <v>1827.61</v>
      </c>
      <c r="L8" s="1">
        <v>134.69</v>
      </c>
      <c r="M8" s="1">
        <f t="shared" si="2"/>
        <v>6.8638842174998729</v>
      </c>
      <c r="O8" s="1">
        <v>28.5327119569614</v>
      </c>
    </row>
    <row r="9" spans="1:15">
      <c r="A9" s="34" t="s">
        <v>18</v>
      </c>
      <c r="B9" s="33">
        <v>25.123575264253095</v>
      </c>
      <c r="C9" s="10">
        <v>2834.72</v>
      </c>
      <c r="D9" s="1">
        <v>26.076880447377697</v>
      </c>
      <c r="E9" s="1">
        <f t="shared" si="0"/>
        <v>0.88628066490704893</v>
      </c>
      <c r="F9" s="3">
        <f t="shared" si="1"/>
        <v>8.8628066490704889</v>
      </c>
      <c r="G9" s="1" t="s">
        <v>19</v>
      </c>
      <c r="H9" s="1">
        <v>6352.35</v>
      </c>
      <c r="I9" s="1">
        <v>2834.72</v>
      </c>
      <c r="J9" s="1">
        <v>1395.36</v>
      </c>
      <c r="K9" s="1">
        <v>1760.76</v>
      </c>
      <c r="L9" s="1">
        <v>621.12</v>
      </c>
      <c r="M9" s="1">
        <f t="shared" si="2"/>
        <v>26.076880447377697</v>
      </c>
      <c r="O9" s="1">
        <v>27.955852360962599</v>
      </c>
    </row>
    <row r="10" spans="1:15">
      <c r="A10" s="34" t="s">
        <v>20</v>
      </c>
      <c r="B10" s="33">
        <v>10.211564386096354</v>
      </c>
      <c r="C10" s="10">
        <v>2773.8</v>
      </c>
      <c r="D10" s="1">
        <v>58.164277276240753</v>
      </c>
      <c r="E10" s="1">
        <f t="shared" si="0"/>
        <v>0.36814349939059604</v>
      </c>
      <c r="F10" s="3">
        <f t="shared" si="1"/>
        <v>3.6814349939059605</v>
      </c>
      <c r="G10" s="1" t="s">
        <v>21</v>
      </c>
      <c r="H10" s="1">
        <v>5344.29</v>
      </c>
      <c r="I10" s="1">
        <v>2773.8</v>
      </c>
      <c r="J10" s="1">
        <v>1119.68</v>
      </c>
      <c r="K10" s="1">
        <v>573.71</v>
      </c>
      <c r="L10" s="1">
        <v>797.63</v>
      </c>
      <c r="M10" s="1">
        <f t="shared" si="2"/>
        <v>58.164277276240753</v>
      </c>
      <c r="O10" s="1">
        <v>10.8436199827926</v>
      </c>
    </row>
    <row r="11" spans="1:15">
      <c r="A11" s="34" t="s">
        <v>22</v>
      </c>
      <c r="B11" s="33">
        <v>3.6373529412489014</v>
      </c>
      <c r="C11" s="10">
        <v>273.58999999999997</v>
      </c>
      <c r="D11" s="1">
        <v>0</v>
      </c>
      <c r="E11" s="1">
        <f t="shared" si="0"/>
        <v>1.3294904569790202</v>
      </c>
      <c r="F11" s="3">
        <f t="shared" si="1"/>
        <v>13.294904569790202</v>
      </c>
      <c r="G11" s="1" t="s">
        <v>23</v>
      </c>
      <c r="H11" s="1">
        <v>702.36</v>
      </c>
      <c r="I11" s="1">
        <v>273.58999999999997</v>
      </c>
      <c r="J11" s="1">
        <v>147.02000000000001</v>
      </c>
      <c r="K11" s="1">
        <v>228.68</v>
      </c>
      <c r="L11" s="1">
        <v>0</v>
      </c>
      <c r="M11" s="1">
        <f t="shared" si="2"/>
        <v>0</v>
      </c>
      <c r="O11" s="1">
        <v>3.9925030934546397</v>
      </c>
    </row>
    <row r="12" spans="1:15">
      <c r="A12" s="34" t="s">
        <v>24</v>
      </c>
      <c r="B12" s="33">
        <v>39.568015713843018</v>
      </c>
      <c r="C12" s="10">
        <v>6455.19</v>
      </c>
      <c r="D12" s="1">
        <v>98.724884616719294</v>
      </c>
      <c r="E12" s="1">
        <f t="shared" si="0"/>
        <v>0.61296438546104792</v>
      </c>
      <c r="F12" s="3">
        <f t="shared" si="1"/>
        <v>6.129643854610479</v>
      </c>
      <c r="G12" s="1" t="s">
        <v>25</v>
      </c>
      <c r="H12" s="1">
        <v>8098.23</v>
      </c>
      <c r="I12" s="1">
        <v>6455.19</v>
      </c>
      <c r="J12" s="1">
        <v>3809.92</v>
      </c>
      <c r="K12" s="1">
        <v>73.489999999999995</v>
      </c>
      <c r="L12" s="1">
        <v>5689.91</v>
      </c>
      <c r="M12" s="1">
        <f t="shared" si="2"/>
        <v>98.724884616719294</v>
      </c>
      <c r="O12" s="1">
        <v>35.591325709347004</v>
      </c>
    </row>
    <row r="13" spans="1:15">
      <c r="A13" s="34" t="s">
        <v>28</v>
      </c>
      <c r="B13" s="33">
        <v>70.717559493479058</v>
      </c>
      <c r="C13" s="10">
        <v>14743.09</v>
      </c>
      <c r="D13" s="2">
        <v>66.440509510716112</v>
      </c>
      <c r="E13" s="1">
        <f t="shared" si="0"/>
        <v>0.47966579254063468</v>
      </c>
      <c r="F13" s="3">
        <f t="shared" si="1"/>
        <v>4.7966579254063468</v>
      </c>
      <c r="G13" s="1" t="s">
        <v>27</v>
      </c>
      <c r="H13" s="1">
        <v>15304.22</v>
      </c>
      <c r="I13" s="1">
        <v>14743.09</v>
      </c>
      <c r="J13" s="1">
        <v>7788.22</v>
      </c>
      <c r="K13" s="1">
        <v>3268.54</v>
      </c>
      <c r="L13" s="2">
        <v>6471</v>
      </c>
      <c r="M13" s="1">
        <f t="shared" si="2"/>
        <v>66.440509510716112</v>
      </c>
      <c r="O13" s="1">
        <v>102.910368100078</v>
      </c>
    </row>
    <row r="14" spans="1:15">
      <c r="A14" s="34" t="s">
        <v>26</v>
      </c>
      <c r="B14" s="33">
        <v>94.394767008528305</v>
      </c>
      <c r="C14" s="10">
        <v>10785.29</v>
      </c>
      <c r="D14" s="1">
        <v>94.174746750627875</v>
      </c>
      <c r="E14" s="1">
        <f t="shared" si="0"/>
        <v>0.87521769937135019</v>
      </c>
      <c r="F14" s="3">
        <f t="shared" si="1"/>
        <v>8.752176993713503</v>
      </c>
      <c r="G14" s="1" t="s">
        <v>29</v>
      </c>
      <c r="H14" s="1">
        <v>14747.14</v>
      </c>
      <c r="I14" s="1">
        <v>10785.29</v>
      </c>
      <c r="J14" s="1">
        <v>6624.27</v>
      </c>
      <c r="K14" s="2">
        <v>590.75</v>
      </c>
      <c r="L14" s="1">
        <v>9550.44</v>
      </c>
      <c r="M14" s="1">
        <f t="shared" si="2"/>
        <v>94.174746750627875</v>
      </c>
      <c r="O14" s="1">
        <v>64.932612477067593</v>
      </c>
    </row>
    <row r="15" spans="1:15">
      <c r="A15" s="10" t="s">
        <v>30</v>
      </c>
      <c r="B15" s="33">
        <v>46.163253907706853</v>
      </c>
      <c r="C15" s="10">
        <v>4706.97</v>
      </c>
      <c r="D15" s="1">
        <v>44.231396446656937</v>
      </c>
      <c r="E15" s="1">
        <f t="shared" si="0"/>
        <v>0.9807424714350601</v>
      </c>
      <c r="F15" s="3">
        <f t="shared" si="1"/>
        <v>9.8074247143505993</v>
      </c>
      <c r="G15" s="1" t="s">
        <v>31</v>
      </c>
      <c r="H15" s="1">
        <v>8309.25</v>
      </c>
      <c r="I15" s="1">
        <v>4706.97</v>
      </c>
      <c r="J15" s="1">
        <v>2777.04</v>
      </c>
      <c r="K15" s="1">
        <v>2274.16</v>
      </c>
      <c r="L15" s="1">
        <v>1803.69</v>
      </c>
      <c r="M15" s="1">
        <f t="shared" si="2"/>
        <v>44.231396446656937</v>
      </c>
      <c r="O15" s="1">
        <v>51.2057013284115</v>
      </c>
    </row>
    <row r="16" spans="1:15">
      <c r="A16" s="34" t="s">
        <v>32</v>
      </c>
      <c r="B16" s="33">
        <v>44.958510439192324</v>
      </c>
      <c r="C16" s="10">
        <v>4763.4799999999996</v>
      </c>
      <c r="D16" s="1">
        <v>9.8175096591700992</v>
      </c>
      <c r="E16" s="1">
        <f t="shared" si="0"/>
        <v>0.94381650472327638</v>
      </c>
      <c r="F16" s="3">
        <f t="shared" si="1"/>
        <v>9.4381650472327632</v>
      </c>
      <c r="G16" s="1" t="s">
        <v>33</v>
      </c>
      <c r="H16" s="1">
        <v>8714.9500000000007</v>
      </c>
      <c r="I16" s="1">
        <v>4763.4799999999996</v>
      </c>
      <c r="J16" s="1">
        <v>3068.01</v>
      </c>
      <c r="K16" s="1">
        <v>3946.99</v>
      </c>
      <c r="L16" s="1">
        <v>429.68</v>
      </c>
      <c r="M16" s="1">
        <f t="shared" si="2"/>
        <v>9.8175096591700992</v>
      </c>
      <c r="O16" s="1">
        <v>51.3802766474682</v>
      </c>
    </row>
    <row r="17" spans="1:15">
      <c r="A17" s="34" t="s">
        <v>40</v>
      </c>
      <c r="B17" s="33">
        <v>34.218511569548681</v>
      </c>
      <c r="C17" s="10">
        <v>6984.73</v>
      </c>
      <c r="D17" s="1">
        <v>97.838490831037788</v>
      </c>
      <c r="E17" s="1">
        <f t="shared" si="0"/>
        <v>0.48990457139429416</v>
      </c>
      <c r="F17" s="3">
        <f t="shared" si="1"/>
        <v>4.8990457139429422</v>
      </c>
      <c r="G17" s="1" t="s">
        <v>35</v>
      </c>
      <c r="H17" s="1">
        <v>8808.8700000000008</v>
      </c>
      <c r="I17" s="1">
        <v>6984.73</v>
      </c>
      <c r="J17" s="1">
        <v>3957.84</v>
      </c>
      <c r="K17" s="1">
        <v>103.42</v>
      </c>
      <c r="L17" s="1">
        <v>4681.2</v>
      </c>
      <c r="M17" s="1">
        <f t="shared" si="2"/>
        <v>97.838490831037788</v>
      </c>
      <c r="O17" s="1">
        <v>23.076820585871999</v>
      </c>
    </row>
    <row r="18" spans="1:15">
      <c r="A18" s="34" t="s">
        <v>36</v>
      </c>
      <c r="B18" s="33">
        <v>50.054313882637047</v>
      </c>
      <c r="C18" s="10">
        <v>5458.94</v>
      </c>
      <c r="D18" s="1">
        <v>56.440766055090855</v>
      </c>
      <c r="E18" s="1">
        <f t="shared" si="0"/>
        <v>0.91692368633172461</v>
      </c>
      <c r="F18" s="3">
        <f t="shared" si="1"/>
        <v>9.1692368633172467</v>
      </c>
      <c r="G18" s="1" t="s">
        <v>37</v>
      </c>
      <c r="H18" s="1">
        <v>7589.96</v>
      </c>
      <c r="I18" s="1">
        <v>5458.94</v>
      </c>
      <c r="J18" s="1">
        <v>3797.7</v>
      </c>
      <c r="K18" s="1">
        <v>2221.02</v>
      </c>
      <c r="L18" s="1">
        <v>2877.83</v>
      </c>
      <c r="M18" s="1">
        <f t="shared" si="2"/>
        <v>56.440766055090855</v>
      </c>
      <c r="O18" s="1">
        <v>54.226255533743597</v>
      </c>
    </row>
    <row r="19" spans="1:15">
      <c r="A19" s="34" t="s">
        <v>38</v>
      </c>
      <c r="B19" s="33">
        <v>37.911175699307741</v>
      </c>
      <c r="C19" s="10">
        <v>3774.29</v>
      </c>
      <c r="D19" s="1">
        <v>2.0791554895781785</v>
      </c>
      <c r="E19" s="1">
        <f t="shared" si="0"/>
        <v>1.0044584729659816</v>
      </c>
      <c r="F19" s="3">
        <f t="shared" si="1"/>
        <v>10.044584729659816</v>
      </c>
      <c r="G19" s="1" t="s">
        <v>39</v>
      </c>
      <c r="H19" s="1">
        <v>5797.01</v>
      </c>
      <c r="I19" s="1">
        <v>3774.29</v>
      </c>
      <c r="J19" s="1">
        <v>2198.31</v>
      </c>
      <c r="K19" s="1">
        <v>3383.88</v>
      </c>
      <c r="L19" s="1">
        <v>71.849999999999994</v>
      </c>
      <c r="M19" s="1">
        <f t="shared" si="2"/>
        <v>2.0791554895781785</v>
      </c>
      <c r="O19" s="1">
        <v>44.630474100349097</v>
      </c>
    </row>
    <row r="20" spans="1:15">
      <c r="A20" s="34" t="s">
        <v>42</v>
      </c>
      <c r="B20" s="33">
        <v>20.796616893488086</v>
      </c>
      <c r="C20" s="10">
        <v>5825.61</v>
      </c>
      <c r="D20" s="1">
        <v>84.589009893810285</v>
      </c>
      <c r="E20" s="1">
        <f t="shared" si="0"/>
        <v>0.35698608203240667</v>
      </c>
      <c r="F20" s="3">
        <f t="shared" si="1"/>
        <v>3.5698608203240672</v>
      </c>
      <c r="G20" s="1" t="s">
        <v>41</v>
      </c>
      <c r="H20" s="1">
        <v>6292.47</v>
      </c>
      <c r="I20" s="1">
        <v>5825.61</v>
      </c>
      <c r="J20" s="1">
        <v>4186.5</v>
      </c>
      <c r="K20" s="2">
        <v>828.82</v>
      </c>
      <c r="L20" s="1">
        <v>4549.29</v>
      </c>
      <c r="M20" s="1">
        <f t="shared" si="2"/>
        <v>84.589009893810285</v>
      </c>
      <c r="O20" s="1">
        <v>35.1514318805446</v>
      </c>
    </row>
    <row r="21" spans="1:15">
      <c r="A21" s="34" t="s">
        <v>34</v>
      </c>
      <c r="B21" s="33">
        <v>23.558404117466363</v>
      </c>
      <c r="C21" s="10">
        <v>3578.39</v>
      </c>
      <c r="D21" s="1">
        <v>84.863671420146076</v>
      </c>
      <c r="E21" s="1">
        <f t="shared" si="0"/>
        <v>0.65835205546255071</v>
      </c>
      <c r="F21" s="3">
        <f t="shared" si="1"/>
        <v>6.5835205546255064</v>
      </c>
      <c r="G21" s="1" t="s">
        <v>43</v>
      </c>
      <c r="H21" s="1">
        <v>4361.42</v>
      </c>
      <c r="I21" s="1">
        <v>3578.39</v>
      </c>
      <c r="J21" s="1">
        <v>2563.4</v>
      </c>
      <c r="K21" s="1">
        <v>500.46</v>
      </c>
      <c r="L21" s="1">
        <v>2805.89</v>
      </c>
      <c r="M21" s="1">
        <f t="shared" si="2"/>
        <v>84.863671420146076</v>
      </c>
      <c r="O21" s="1">
        <v>20.330273313474901</v>
      </c>
    </row>
    <row r="22" spans="1:15">
      <c r="A22" s="34" t="s">
        <v>44</v>
      </c>
      <c r="B22" s="33">
        <v>3.7048392097787901</v>
      </c>
      <c r="C22" s="10">
        <v>693.89</v>
      </c>
      <c r="D22" s="1">
        <v>95.801510788364425</v>
      </c>
      <c r="E22" s="1">
        <f t="shared" si="0"/>
        <v>0.53392313043548556</v>
      </c>
      <c r="F22" s="3">
        <f t="shared" si="1"/>
        <v>5.3392313043548549</v>
      </c>
      <c r="G22" s="1" t="s">
        <v>45</v>
      </c>
      <c r="H22" s="1">
        <v>1199.0999999999999</v>
      </c>
      <c r="I22" s="1">
        <v>693.89</v>
      </c>
      <c r="J22" s="1">
        <v>378.8</v>
      </c>
      <c r="K22" s="1">
        <v>20.12</v>
      </c>
      <c r="L22" s="1">
        <v>459.1</v>
      </c>
      <c r="M22" s="1">
        <f t="shared" si="2"/>
        <v>95.801510788364425</v>
      </c>
      <c r="O22" s="1">
        <v>3.7188301006580202</v>
      </c>
    </row>
    <row r="23" spans="1:15">
      <c r="A23" s="34" t="s">
        <v>46</v>
      </c>
      <c r="B23" s="33">
        <v>1.5875475900252078</v>
      </c>
      <c r="C23" s="10">
        <v>304.89999999999998</v>
      </c>
      <c r="D23" s="1">
        <v>100</v>
      </c>
      <c r="E23" s="1">
        <f t="shared" si="0"/>
        <v>0.52067812070357755</v>
      </c>
      <c r="F23" s="3">
        <f t="shared" si="1"/>
        <v>5.2067812070357755</v>
      </c>
      <c r="G23" s="1" t="s">
        <v>47</v>
      </c>
      <c r="H23" s="1">
        <v>598.79999999999995</v>
      </c>
      <c r="I23" s="1">
        <v>304.89999999999998</v>
      </c>
      <c r="J23" s="1">
        <v>116.23</v>
      </c>
      <c r="K23" s="1">
        <v>0</v>
      </c>
      <c r="L23" s="1">
        <v>123.81</v>
      </c>
      <c r="M23" s="1">
        <f t="shared" si="2"/>
        <v>100</v>
      </c>
      <c r="O23" s="1">
        <v>1.49839358609969</v>
      </c>
    </row>
    <row r="24" spans="1:15">
      <c r="A24" s="34" t="s">
        <v>56</v>
      </c>
      <c r="B24" s="33">
        <v>33.370951281191928</v>
      </c>
      <c r="C24" s="10">
        <v>3022.97</v>
      </c>
      <c r="D24" s="1">
        <v>95.332076039702144</v>
      </c>
      <c r="E24" s="1">
        <f t="shared" si="0"/>
        <v>1.1039127507448612</v>
      </c>
      <c r="F24" s="3">
        <f t="shared" si="1"/>
        <v>11.039127507448612</v>
      </c>
      <c r="G24" s="1" t="s">
        <v>49</v>
      </c>
      <c r="H24" s="1">
        <v>4239.9399999999996</v>
      </c>
      <c r="I24" s="1">
        <v>3022.97</v>
      </c>
      <c r="J24" s="1">
        <v>1323.66</v>
      </c>
      <c r="K24" s="1">
        <v>105.44</v>
      </c>
      <c r="L24" s="1">
        <v>2153.38</v>
      </c>
      <c r="M24" s="1">
        <f t="shared" si="2"/>
        <v>95.332076039702144</v>
      </c>
      <c r="O24" s="1">
        <v>11.785400439105899</v>
      </c>
    </row>
    <row r="25" spans="1:15">
      <c r="A25" s="34" t="s">
        <v>50</v>
      </c>
      <c r="B25" s="33">
        <v>49.924356130133489</v>
      </c>
      <c r="C25" s="10">
        <v>8387.9</v>
      </c>
      <c r="D25" s="2">
        <v>98.735941874099751</v>
      </c>
      <c r="E25" s="1">
        <f t="shared" si="0"/>
        <v>0.59519493711338334</v>
      </c>
      <c r="F25" s="3">
        <f t="shared" si="1"/>
        <v>5.9519493711338347</v>
      </c>
      <c r="G25" s="1" t="s">
        <v>51</v>
      </c>
      <c r="H25" s="1">
        <v>11002.72</v>
      </c>
      <c r="I25" s="1">
        <v>8387.9</v>
      </c>
      <c r="J25" s="1">
        <v>5655.28</v>
      </c>
      <c r="K25" s="1">
        <v>101.01</v>
      </c>
      <c r="L25" s="2">
        <v>7889.92</v>
      </c>
      <c r="M25" s="1">
        <f t="shared" si="2"/>
        <v>98.735941874099751</v>
      </c>
      <c r="O25" s="1">
        <v>44.248998114810604</v>
      </c>
    </row>
    <row r="26" spans="1:15">
      <c r="A26" s="34" t="s">
        <v>52</v>
      </c>
      <c r="B26" s="33">
        <v>1.6271182138652531</v>
      </c>
      <c r="C26" s="10">
        <v>127.17</v>
      </c>
      <c r="D26" s="1">
        <v>15.683581124757598</v>
      </c>
      <c r="E26" s="1">
        <f t="shared" si="0"/>
        <v>1.2794827505427799</v>
      </c>
      <c r="F26" s="3">
        <f t="shared" si="1"/>
        <v>12.794827505427799</v>
      </c>
      <c r="G26" s="1" t="s">
        <v>53</v>
      </c>
      <c r="H26" s="1">
        <v>273.2</v>
      </c>
      <c r="I26" s="1">
        <v>127.17</v>
      </c>
      <c r="J26" s="1">
        <v>101.86</v>
      </c>
      <c r="K26" s="1">
        <v>104.35</v>
      </c>
      <c r="L26" s="1">
        <v>19.41</v>
      </c>
      <c r="M26" s="1">
        <f t="shared" si="2"/>
        <v>15.683581124757598</v>
      </c>
      <c r="O26" s="1">
        <v>1.6502778051918301</v>
      </c>
    </row>
    <row r="27" spans="1:15">
      <c r="A27" s="34" t="s">
        <v>48</v>
      </c>
      <c r="B27" s="33">
        <v>12.367138769613588</v>
      </c>
      <c r="C27" s="10">
        <v>3160.96</v>
      </c>
      <c r="D27" s="1">
        <v>99.90715417029017</v>
      </c>
      <c r="E27" s="1">
        <f t="shared" si="0"/>
        <v>0.39124629130433758</v>
      </c>
      <c r="F27" s="3">
        <f t="shared" si="1"/>
        <v>3.9124629130433757</v>
      </c>
      <c r="G27" s="1" t="s">
        <v>55</v>
      </c>
      <c r="H27" s="1">
        <v>3641.72</v>
      </c>
      <c r="I27" s="1">
        <v>3160.96</v>
      </c>
      <c r="J27" s="1">
        <v>1478.09</v>
      </c>
      <c r="K27" s="1">
        <v>2.21</v>
      </c>
      <c r="L27" s="1">
        <v>2378.08</v>
      </c>
      <c r="M27" s="1">
        <f t="shared" si="2"/>
        <v>99.90715417029017</v>
      </c>
      <c r="O27" s="1">
        <v>7.35322901837527</v>
      </c>
    </row>
    <row r="28" spans="1:15">
      <c r="A28" s="34" t="s">
        <v>54</v>
      </c>
      <c r="B28" s="33">
        <v>8.5284683512363202</v>
      </c>
      <c r="C28" s="10">
        <v>6403.97</v>
      </c>
      <c r="D28" s="1">
        <v>57.130244877096793</v>
      </c>
      <c r="E28" s="1">
        <f t="shared" si="0"/>
        <v>0.13317470805197901</v>
      </c>
      <c r="F28" s="3">
        <f t="shared" si="1"/>
        <v>1.3317470805197902</v>
      </c>
      <c r="G28" s="1" t="s">
        <v>57</v>
      </c>
      <c r="H28" s="1">
        <v>10264.41</v>
      </c>
      <c r="I28" s="1">
        <v>6403.97</v>
      </c>
      <c r="J28" s="1">
        <v>3593.76</v>
      </c>
      <c r="K28" s="1">
        <v>1845.2</v>
      </c>
      <c r="L28" s="1">
        <v>2459</v>
      </c>
      <c r="M28" s="1">
        <f t="shared" si="2"/>
        <v>57.130244877096793</v>
      </c>
      <c r="O28" s="1">
        <v>34.9867729267092</v>
      </c>
    </row>
    <row r="29" spans="1:15">
      <c r="A29" s="10" t="s">
        <v>58</v>
      </c>
      <c r="B29" s="33">
        <v>1.3807077502937468</v>
      </c>
      <c r="C29" s="10">
        <v>390.03</v>
      </c>
      <c r="D29" s="1">
        <v>85.469394355947287</v>
      </c>
      <c r="E29" s="1">
        <f t="shared" si="0"/>
        <v>0.35400039748064172</v>
      </c>
      <c r="F29" s="3">
        <f t="shared" si="1"/>
        <v>3.5400039748064174</v>
      </c>
      <c r="G29" s="1" t="s">
        <v>59</v>
      </c>
      <c r="H29" s="1">
        <v>453.1</v>
      </c>
      <c r="I29" s="1">
        <v>390.03</v>
      </c>
      <c r="J29" s="1">
        <v>255.73</v>
      </c>
      <c r="K29" s="1">
        <v>53.91</v>
      </c>
      <c r="L29" s="1">
        <v>317.10000000000002</v>
      </c>
      <c r="M29" s="1">
        <f t="shared" si="2"/>
        <v>85.469394355947287</v>
      </c>
      <c r="O29" s="1">
        <v>1.0236397426138699</v>
      </c>
    </row>
    <row r="30" spans="1:15">
      <c r="A30" s="34" t="s">
        <v>62</v>
      </c>
      <c r="B30" s="33">
        <v>16.357622467507575</v>
      </c>
      <c r="C30" s="10">
        <v>2824.76</v>
      </c>
      <c r="D30" s="1">
        <v>97.779499096307774</v>
      </c>
      <c r="E30" s="1">
        <f t="shared" si="0"/>
        <v>0.57908007998936462</v>
      </c>
      <c r="F30" s="3">
        <f t="shared" si="1"/>
        <v>5.7908007998936455</v>
      </c>
      <c r="G30" s="1" t="s">
        <v>61</v>
      </c>
      <c r="H30" s="1">
        <v>281.39999999999998</v>
      </c>
      <c r="I30" s="1">
        <v>194.58</v>
      </c>
      <c r="J30" s="1">
        <v>108.87</v>
      </c>
      <c r="K30" s="1">
        <v>0.86</v>
      </c>
      <c r="L30" s="1">
        <v>37.869999999999997</v>
      </c>
      <c r="M30" s="1">
        <f t="shared" si="2"/>
        <v>97.779499096307774</v>
      </c>
      <c r="O30" s="1">
        <v>2.7539266603843</v>
      </c>
    </row>
    <row r="31" spans="1:15">
      <c r="A31" s="34" t="s">
        <v>60</v>
      </c>
      <c r="B31" s="33">
        <v>2.8040034286631066</v>
      </c>
      <c r="C31" s="12">
        <v>194.58</v>
      </c>
      <c r="D31" s="2">
        <v>98.524118472527761</v>
      </c>
      <c r="E31" s="1">
        <f t="shared" si="0"/>
        <v>1.4410542854677286</v>
      </c>
      <c r="F31" s="3">
        <f t="shared" si="1"/>
        <v>14.410542854677287</v>
      </c>
      <c r="G31" s="1" t="s">
        <v>63</v>
      </c>
      <c r="H31" s="1">
        <v>6839.83</v>
      </c>
      <c r="I31" s="1">
        <v>2824.76</v>
      </c>
      <c r="J31" s="1">
        <v>2119.16</v>
      </c>
      <c r="K31" s="1">
        <v>39.65</v>
      </c>
      <c r="L31" s="2">
        <v>2646.88</v>
      </c>
      <c r="M31" s="1">
        <f t="shared" si="2"/>
        <v>98.524118472527761</v>
      </c>
      <c r="O31" s="1">
        <v>15.8765366820744</v>
      </c>
    </row>
    <row r="32" spans="1:15">
      <c r="A32" s="34" t="s">
        <v>64</v>
      </c>
      <c r="B32" s="33">
        <v>14.666241271003578</v>
      </c>
      <c r="C32" s="10">
        <v>4243.22</v>
      </c>
      <c r="D32" s="1">
        <v>76.298746324957008</v>
      </c>
      <c r="E32" s="1">
        <f t="shared" si="0"/>
        <v>0.34563942644980877</v>
      </c>
      <c r="F32" s="3">
        <f t="shared" si="1"/>
        <v>3.4563942644980878</v>
      </c>
      <c r="G32" s="1" t="s">
        <v>65</v>
      </c>
      <c r="H32" s="1">
        <v>7218.08</v>
      </c>
      <c r="I32" s="1">
        <v>4243.22</v>
      </c>
      <c r="J32" s="1">
        <v>1974</v>
      </c>
      <c r="K32" s="1">
        <v>683.62</v>
      </c>
      <c r="L32" s="1">
        <v>2200.6999999999998</v>
      </c>
      <c r="M32" s="1">
        <f t="shared" si="2"/>
        <v>76.298746324957008</v>
      </c>
      <c r="O32" s="1">
        <v>15.0672144135737</v>
      </c>
    </row>
    <row r="33" spans="1:15">
      <c r="A33" s="34" t="s">
        <v>66</v>
      </c>
      <c r="B33" s="33">
        <v>9.212759004577574</v>
      </c>
      <c r="C33" s="10">
        <v>1024.68</v>
      </c>
      <c r="D33" s="1">
        <v>21.770995310936726</v>
      </c>
      <c r="E33" s="1">
        <f t="shared" si="0"/>
        <v>0.89908644694710282</v>
      </c>
      <c r="F33" s="3">
        <f t="shared" si="1"/>
        <v>8.9908644694710276</v>
      </c>
      <c r="G33" s="1" t="s">
        <v>67</v>
      </c>
      <c r="H33" s="1">
        <v>2041.38</v>
      </c>
      <c r="I33" s="1">
        <v>1024.68</v>
      </c>
      <c r="J33" s="1">
        <v>638.79</v>
      </c>
      <c r="K33" s="1">
        <v>648.98</v>
      </c>
      <c r="L33" s="1">
        <v>180.61</v>
      </c>
      <c r="M33" s="1">
        <f t="shared" si="2"/>
        <v>21.770995310936726</v>
      </c>
      <c r="O33" s="1">
        <v>10.131742999654001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02337-34E5-C844-8D74-9D50CE44E96C}">
  <dimension ref="A1:AG85"/>
  <sheetViews>
    <sheetView workbookViewId="0">
      <selection sqref="A1:E1048576"/>
    </sheetView>
  </sheetViews>
  <sheetFormatPr baseColWidth="10" defaultRowHeight="16"/>
  <cols>
    <col min="1" max="1" width="10.83203125" style="10"/>
    <col min="2" max="2" width="17" style="10" customWidth="1"/>
    <col min="3" max="3" width="21.6640625" style="10" bestFit="1" customWidth="1"/>
    <col min="4" max="4" width="10.83203125" style="10"/>
    <col min="5" max="5" width="24.83203125" style="10" customWidth="1"/>
    <col min="6" max="11" width="10.83203125" style="21"/>
    <col min="12" max="12" width="19.6640625" style="21" customWidth="1"/>
    <col min="13" max="16384" width="10.83203125" style="21"/>
  </cols>
  <sheetData>
    <row r="1" spans="1:15">
      <c r="A1" s="10" t="s">
        <v>0</v>
      </c>
      <c r="B1" s="9" t="s">
        <v>109</v>
      </c>
      <c r="C1" s="10" t="s">
        <v>107</v>
      </c>
      <c r="D1" s="10" t="s">
        <v>108</v>
      </c>
      <c r="E1" s="9" t="s">
        <v>4</v>
      </c>
    </row>
    <row r="2" spans="1:15">
      <c r="A2" s="10" t="s">
        <v>106</v>
      </c>
      <c r="B2" s="9" t="s">
        <v>104</v>
      </c>
      <c r="C2" s="10" t="s">
        <v>103</v>
      </c>
      <c r="D2" s="10" t="s">
        <v>101</v>
      </c>
      <c r="E2" s="10" t="s">
        <v>105</v>
      </c>
    </row>
    <row r="3" spans="1:15">
      <c r="A3" s="37" t="s">
        <v>7</v>
      </c>
      <c r="B3" s="3">
        <v>9.0241048463151702E-2</v>
      </c>
      <c r="C3" s="10">
        <v>7334.46</v>
      </c>
      <c r="D3" s="10">
        <v>61.955119427962899</v>
      </c>
      <c r="E3" s="9">
        <v>1.2303707220865844E-2</v>
      </c>
      <c r="H3" s="35"/>
      <c r="L3" s="32"/>
      <c r="M3" s="10"/>
      <c r="N3" s="10"/>
      <c r="O3" s="10"/>
    </row>
    <row r="4" spans="1:15">
      <c r="A4" s="38" t="s">
        <v>122</v>
      </c>
      <c r="B4" s="3">
        <v>2.5850018706651857E-3</v>
      </c>
      <c r="C4" s="10">
        <v>89.47</v>
      </c>
      <c r="D4" s="30">
        <v>99.594893199116129</v>
      </c>
      <c r="E4" s="9">
        <v>2.8892387064548854E-2</v>
      </c>
      <c r="H4" s="35"/>
      <c r="L4" s="31"/>
      <c r="M4" s="10"/>
      <c r="N4" s="10"/>
      <c r="O4" s="10"/>
    </row>
    <row r="5" spans="1:15">
      <c r="A5" s="37" t="s">
        <v>10</v>
      </c>
      <c r="B5" s="3">
        <v>1.6267974419838165E-2</v>
      </c>
      <c r="C5" s="10">
        <v>2025.93</v>
      </c>
      <c r="D5" s="10">
        <v>41.559481240326626</v>
      </c>
      <c r="E5" s="9">
        <v>8.0298798180777047E-3</v>
      </c>
      <c r="H5" s="35"/>
      <c r="L5" s="32"/>
      <c r="M5" s="10"/>
      <c r="N5" s="10"/>
      <c r="O5" s="10"/>
    </row>
    <row r="6" spans="1:15">
      <c r="A6" s="37" t="s">
        <v>12</v>
      </c>
      <c r="B6" s="3">
        <v>1.2916529734166448E-2</v>
      </c>
      <c r="C6" s="10">
        <v>841.1</v>
      </c>
      <c r="D6" s="10">
        <v>5.6727238489784382</v>
      </c>
      <c r="E6" s="9">
        <v>1.5356711133237959E-2</v>
      </c>
      <c r="H6" s="35"/>
      <c r="L6" s="32"/>
      <c r="M6" s="10"/>
      <c r="N6" s="10"/>
      <c r="O6" s="10"/>
    </row>
    <row r="7" spans="1:15">
      <c r="A7" s="37" t="s">
        <v>16</v>
      </c>
      <c r="B7" s="3">
        <v>3.1472291464855535E-2</v>
      </c>
      <c r="C7" s="10">
        <v>2710.93</v>
      </c>
      <c r="D7" s="10">
        <v>99.87565228251367</v>
      </c>
      <c r="E7" s="9">
        <v>1.160940764418688E-2</v>
      </c>
      <c r="H7" s="35"/>
      <c r="L7" s="32"/>
      <c r="M7" s="10"/>
      <c r="N7" s="10"/>
      <c r="O7" s="10"/>
    </row>
    <row r="8" spans="1:15">
      <c r="A8" s="37" t="s">
        <v>14</v>
      </c>
      <c r="B8" s="3">
        <v>3.5752437585692187E-2</v>
      </c>
      <c r="C8" s="10">
        <v>2229.5100000000002</v>
      </c>
      <c r="D8" s="10">
        <v>6.8638842174998729</v>
      </c>
      <c r="E8" s="9">
        <v>1.6036006829165238E-2</v>
      </c>
      <c r="H8" s="35"/>
      <c r="L8" s="32"/>
      <c r="M8" s="10"/>
      <c r="N8" s="10"/>
      <c r="O8" s="10"/>
    </row>
    <row r="9" spans="1:15">
      <c r="A9" s="37" t="s">
        <v>18</v>
      </c>
      <c r="B9" s="3">
        <v>3.7214936972646336E-2</v>
      </c>
      <c r="C9" s="10">
        <v>2834.72</v>
      </c>
      <c r="D9" s="10">
        <v>26.076880447377697</v>
      </c>
      <c r="E9" s="9">
        <v>1.312825851323811E-2</v>
      </c>
      <c r="H9" s="35"/>
      <c r="L9" s="32"/>
      <c r="M9" s="10"/>
      <c r="N9" s="10"/>
      <c r="O9" s="10"/>
    </row>
    <row r="10" spans="1:15">
      <c r="A10" s="37" t="s">
        <v>20</v>
      </c>
      <c r="B10" s="3">
        <v>1.8340333727534224E-2</v>
      </c>
      <c r="C10" s="10">
        <v>2773.8</v>
      </c>
      <c r="D10" s="10">
        <v>58.164277276240753</v>
      </c>
      <c r="E10" s="9">
        <v>6.611988509457864E-3</v>
      </c>
      <c r="H10" s="35"/>
      <c r="L10" s="32"/>
      <c r="M10" s="10"/>
      <c r="N10" s="10"/>
      <c r="O10" s="10"/>
    </row>
    <row r="11" spans="1:15">
      <c r="A11" s="37" t="s">
        <v>22</v>
      </c>
      <c r="B11" s="3">
        <v>5.9244363257736042E-3</v>
      </c>
      <c r="C11" s="10">
        <v>273.58999999999997</v>
      </c>
      <c r="D11" s="10">
        <v>0</v>
      </c>
      <c r="E11" s="9">
        <v>2.1654433004764811E-2</v>
      </c>
      <c r="H11" s="35"/>
      <c r="L11" s="32"/>
      <c r="M11" s="10"/>
      <c r="N11" s="10"/>
      <c r="O11" s="10"/>
    </row>
    <row r="12" spans="1:15">
      <c r="A12" s="37" t="s">
        <v>24</v>
      </c>
      <c r="B12" s="3">
        <v>0.13775242613471234</v>
      </c>
      <c r="C12" s="10">
        <v>6455.19</v>
      </c>
      <c r="D12" s="10">
        <v>98.724884616719294</v>
      </c>
      <c r="E12" s="9">
        <v>2.1339794201985122E-2</v>
      </c>
      <c r="H12" s="35"/>
      <c r="L12" s="32"/>
      <c r="M12" s="10"/>
      <c r="N12" s="10"/>
      <c r="O12" s="10"/>
    </row>
    <row r="13" spans="1:15">
      <c r="A13" s="37" t="s">
        <v>28</v>
      </c>
      <c r="B13" s="3">
        <v>0.22053012491909113</v>
      </c>
      <c r="C13" s="10">
        <v>14743.09</v>
      </c>
      <c r="D13" s="30">
        <v>66.440509510716112</v>
      </c>
      <c r="E13" s="9">
        <v>1.4958202447322178E-2</v>
      </c>
      <c r="H13" s="35"/>
      <c r="L13" s="32"/>
      <c r="M13" s="10"/>
      <c r="N13" s="10"/>
      <c r="O13" s="10"/>
    </row>
    <row r="14" spans="1:15">
      <c r="A14" s="37" t="s">
        <v>26</v>
      </c>
      <c r="B14" s="3">
        <v>0.11261321571888083</v>
      </c>
      <c r="C14" s="10">
        <v>10785.29</v>
      </c>
      <c r="D14" s="10">
        <v>94.174746750627875</v>
      </c>
      <c r="E14" s="9">
        <v>1.044137113780722E-2</v>
      </c>
      <c r="H14" s="35"/>
      <c r="L14" s="32"/>
      <c r="M14" s="10"/>
      <c r="N14" s="10"/>
      <c r="O14" s="10"/>
    </row>
    <row r="15" spans="1:15">
      <c r="A15" s="38" t="s">
        <v>30</v>
      </c>
      <c r="B15" s="3">
        <v>6.4922905700836697E-2</v>
      </c>
      <c r="C15" s="10">
        <v>4706.97</v>
      </c>
      <c r="D15" s="10">
        <v>44.231396446656937</v>
      </c>
      <c r="E15" s="9">
        <v>1.3792929570580797E-2</v>
      </c>
      <c r="H15" s="35"/>
      <c r="L15" s="31"/>
      <c r="M15" s="10"/>
      <c r="N15" s="10"/>
      <c r="O15" s="10"/>
    </row>
    <row r="16" spans="1:15">
      <c r="A16" s="37" t="s">
        <v>32</v>
      </c>
      <c r="B16" s="3">
        <v>4.4625041854104465E-2</v>
      </c>
      <c r="C16" s="10">
        <v>4763.4799999999996</v>
      </c>
      <c r="D16" s="10">
        <v>9.8175096591700992</v>
      </c>
      <c r="E16" s="9">
        <v>9.3681598020994034E-3</v>
      </c>
      <c r="H16" s="35"/>
      <c r="L16" s="32"/>
      <c r="M16" s="10"/>
      <c r="N16" s="10"/>
      <c r="O16" s="10"/>
    </row>
    <row r="17" spans="1:15">
      <c r="A17" s="37" t="s">
        <v>40</v>
      </c>
      <c r="B17" s="3">
        <v>7.2771809148887978E-2</v>
      </c>
      <c r="C17" s="10">
        <v>6984.73</v>
      </c>
      <c r="D17" s="10">
        <v>97.838490831037788</v>
      </c>
      <c r="E17" s="9">
        <v>1.0418700386255158E-2</v>
      </c>
      <c r="H17" s="35"/>
      <c r="L17" s="32"/>
      <c r="M17" s="10"/>
      <c r="N17" s="10"/>
      <c r="O17" s="10"/>
    </row>
    <row r="18" spans="1:15">
      <c r="A18" s="37" t="s">
        <v>36</v>
      </c>
      <c r="B18" s="3">
        <v>6.6472857650629213E-2</v>
      </c>
      <c r="C18" s="10">
        <v>5458.94</v>
      </c>
      <c r="D18" s="10">
        <v>56.440766055090855</v>
      </c>
      <c r="E18" s="9">
        <v>1.2176880062911339E-2</v>
      </c>
      <c r="H18" s="35"/>
      <c r="L18" s="32"/>
      <c r="M18" s="10"/>
      <c r="N18" s="10"/>
      <c r="O18" s="10"/>
    </row>
    <row r="19" spans="1:15">
      <c r="A19" s="37" t="s">
        <v>38</v>
      </c>
      <c r="B19" s="3">
        <v>2.5579799677679687E-2</v>
      </c>
      <c r="C19" s="10">
        <v>3774.29</v>
      </c>
      <c r="D19" s="10">
        <v>2.0791554895781785</v>
      </c>
      <c r="E19" s="9">
        <v>6.7773805610272884E-3</v>
      </c>
      <c r="H19" s="35"/>
      <c r="L19" s="32"/>
      <c r="M19" s="10"/>
      <c r="N19" s="10"/>
      <c r="O19" s="10"/>
    </row>
    <row r="20" spans="1:15">
      <c r="A20" s="37" t="s">
        <v>42</v>
      </c>
      <c r="B20" s="3">
        <v>4.6111652524633229E-2</v>
      </c>
      <c r="C20" s="10">
        <v>5825.61</v>
      </c>
      <c r="D20" s="10">
        <v>84.589009893810285</v>
      </c>
      <c r="E20" s="9">
        <v>7.9153346215474832E-3</v>
      </c>
      <c r="H20" s="35"/>
      <c r="L20" s="32"/>
      <c r="M20" s="10"/>
      <c r="N20" s="10"/>
      <c r="O20" s="10"/>
    </row>
    <row r="21" spans="1:15">
      <c r="A21" s="37" t="s">
        <v>34</v>
      </c>
      <c r="B21" s="3">
        <v>7.2895017655790845E-2</v>
      </c>
      <c r="C21" s="10">
        <v>3578.39</v>
      </c>
      <c r="D21" s="10">
        <v>84.863671420146076</v>
      </c>
      <c r="E21" s="9">
        <v>2.0370897989260769E-2</v>
      </c>
      <c r="H21" s="35"/>
      <c r="L21" s="32"/>
      <c r="M21" s="10"/>
      <c r="N21" s="10"/>
      <c r="O21" s="10"/>
    </row>
    <row r="22" spans="1:15">
      <c r="A22" s="37" t="s">
        <v>44</v>
      </c>
      <c r="B22" s="3">
        <v>1.0005187914025705E-2</v>
      </c>
      <c r="C22" s="10">
        <v>693.89</v>
      </c>
      <c r="D22" s="10">
        <v>95.801510788364425</v>
      </c>
      <c r="E22" s="9">
        <v>1.4418982711994271E-2</v>
      </c>
      <c r="H22" s="35"/>
      <c r="L22" s="32"/>
      <c r="M22" s="10"/>
      <c r="N22" s="10"/>
      <c r="O22" s="10"/>
    </row>
    <row r="23" spans="1:15">
      <c r="A23" s="37" t="s">
        <v>46</v>
      </c>
      <c r="B23" s="3">
        <v>5.7301854941079131E-3</v>
      </c>
      <c r="C23" s="10">
        <v>304.89999999999998</v>
      </c>
      <c r="D23" s="10">
        <v>100</v>
      </c>
      <c r="E23" s="9">
        <v>1.8793655277493975E-2</v>
      </c>
      <c r="H23" s="35"/>
      <c r="L23" s="32"/>
      <c r="M23" s="10"/>
      <c r="N23" s="10"/>
      <c r="O23" s="10"/>
    </row>
    <row r="24" spans="1:15">
      <c r="A24" s="37" t="s">
        <v>56</v>
      </c>
      <c r="B24" s="3">
        <v>5.1357443720254699E-2</v>
      </c>
      <c r="C24" s="10">
        <v>3022.97</v>
      </c>
      <c r="D24" s="10">
        <v>95.332076039702144</v>
      </c>
      <c r="E24" s="9">
        <v>1.6989068274000308E-2</v>
      </c>
      <c r="H24" s="35"/>
      <c r="L24" s="32"/>
      <c r="M24" s="10"/>
      <c r="N24" s="10"/>
      <c r="O24" s="10"/>
    </row>
    <row r="25" spans="1:15">
      <c r="A25" s="37" t="s">
        <v>50</v>
      </c>
      <c r="B25" s="3">
        <v>0.16764936817540885</v>
      </c>
      <c r="C25" s="10">
        <v>8387.9</v>
      </c>
      <c r="D25" s="30">
        <v>98.735941874099751</v>
      </c>
      <c r="E25" s="9">
        <v>1.9987048984299868E-2</v>
      </c>
      <c r="H25" s="35"/>
      <c r="L25" s="32"/>
      <c r="M25" s="10"/>
      <c r="N25" s="10"/>
      <c r="O25" s="10"/>
    </row>
    <row r="26" spans="1:15">
      <c r="A26" s="37" t="s">
        <v>52</v>
      </c>
      <c r="B26" s="3">
        <v>1.8589723827653292E-3</v>
      </c>
      <c r="C26" s="10">
        <v>127.17</v>
      </c>
      <c r="D26" s="10">
        <v>15.683581124757598</v>
      </c>
      <c r="E26" s="9">
        <v>1.4618010401551697E-2</v>
      </c>
      <c r="H26" s="35"/>
      <c r="L26" s="32"/>
      <c r="M26" s="10"/>
      <c r="N26" s="10"/>
      <c r="O26" s="10"/>
    </row>
    <row r="27" spans="1:15">
      <c r="A27" s="37" t="s">
        <v>48</v>
      </c>
      <c r="B27" s="3">
        <v>3.9980616112343978E-2</v>
      </c>
      <c r="C27" s="10">
        <v>3160.96</v>
      </c>
      <c r="D27" s="10">
        <v>99.90715417029017</v>
      </c>
      <c r="E27" s="9">
        <v>1.2648251199744377E-2</v>
      </c>
      <c r="H27" s="35"/>
      <c r="L27" s="32"/>
      <c r="M27" s="10"/>
      <c r="N27" s="10"/>
      <c r="O27" s="10"/>
    </row>
    <row r="28" spans="1:15">
      <c r="A28" s="37" t="s">
        <v>54</v>
      </c>
      <c r="B28" s="3">
        <v>2.9105964022045114E-2</v>
      </c>
      <c r="C28" s="10">
        <v>6403.97</v>
      </c>
      <c r="D28" s="10">
        <v>57.130244877096793</v>
      </c>
      <c r="E28" s="9">
        <v>4.5449875658451107E-3</v>
      </c>
      <c r="H28" s="35"/>
      <c r="L28" s="32"/>
      <c r="M28" s="10"/>
      <c r="N28" s="10"/>
      <c r="O28" s="10"/>
    </row>
    <row r="29" spans="1:15">
      <c r="A29" s="38" t="s">
        <v>58</v>
      </c>
      <c r="B29" s="3">
        <v>4.2035061455769872E-3</v>
      </c>
      <c r="C29" s="10">
        <v>390.03</v>
      </c>
      <c r="D29" s="10">
        <v>85.469394355947287</v>
      </c>
      <c r="E29" s="9">
        <v>1.0777391855952076E-2</v>
      </c>
      <c r="H29" s="35"/>
      <c r="L29" s="31"/>
      <c r="M29" s="10"/>
      <c r="N29" s="10"/>
      <c r="O29" s="10"/>
    </row>
    <row r="30" spans="1:15">
      <c r="A30" s="37" t="s">
        <v>62</v>
      </c>
      <c r="B30" s="3">
        <v>5.8570693039903206E-2</v>
      </c>
      <c r="C30" s="10">
        <v>2824.76</v>
      </c>
      <c r="D30" s="10">
        <v>97.779499096307774</v>
      </c>
      <c r="E30" s="9">
        <v>2.073475022299353E-2</v>
      </c>
      <c r="H30" s="35"/>
      <c r="L30" s="32"/>
      <c r="M30" s="10"/>
      <c r="N30" s="10"/>
      <c r="O30" s="10"/>
    </row>
    <row r="31" spans="1:15">
      <c r="A31" s="37" t="s">
        <v>60</v>
      </c>
      <c r="B31" s="3">
        <v>1.0227709498898587E-2</v>
      </c>
      <c r="C31" s="12">
        <v>194.58</v>
      </c>
      <c r="D31" s="30">
        <v>98.524118472527761</v>
      </c>
      <c r="E31" s="9">
        <v>5.2563004928042896E-2</v>
      </c>
      <c r="H31" s="35"/>
      <c r="L31" s="32"/>
      <c r="M31" s="10"/>
      <c r="N31" s="10"/>
      <c r="O31" s="10"/>
    </row>
    <row r="32" spans="1:15">
      <c r="A32" s="37" t="s">
        <v>64</v>
      </c>
      <c r="B32" s="3">
        <v>3.1193450689785095E-2</v>
      </c>
      <c r="C32" s="10">
        <v>4243.22</v>
      </c>
      <c r="D32" s="10">
        <v>76.298746324957008</v>
      </c>
      <c r="E32" s="9">
        <v>7.351363042638631E-3</v>
      </c>
      <c r="H32" s="35"/>
      <c r="L32" s="32"/>
      <c r="M32" s="10"/>
      <c r="N32" s="10"/>
      <c r="O32" s="10"/>
    </row>
    <row r="33" spans="1:33">
      <c r="A33" s="37" t="s">
        <v>66</v>
      </c>
      <c r="B33" s="3">
        <v>1.2660608447709169E-2</v>
      </c>
      <c r="C33" s="10">
        <v>1024.68</v>
      </c>
      <c r="D33" s="10">
        <v>21.770995310936726</v>
      </c>
      <c r="E33" s="9">
        <v>1.2355670499774726E-2</v>
      </c>
      <c r="H33" s="35"/>
      <c r="L33" s="32"/>
      <c r="M33" s="10"/>
      <c r="N33" s="10"/>
      <c r="O33" s="10"/>
    </row>
    <row r="37" spans="1:33" s="35" customFormat="1"/>
    <row r="38" spans="1:33" s="35" customFormat="1"/>
    <row r="39" spans="1:33" s="35" customFormat="1"/>
    <row r="40" spans="1:33" s="35" customFormat="1"/>
    <row r="41" spans="1:33" s="35" customFormat="1"/>
    <row r="42" spans="1:33" s="35" customFormat="1"/>
    <row r="43" spans="1:33" s="35" customFormat="1"/>
    <row r="44" spans="1:33" s="35" customFormat="1"/>
    <row r="45" spans="1:33" s="35" customFormat="1"/>
    <row r="46" spans="1:33" s="35" customFormat="1"/>
    <row r="47" spans="1:33" s="35" customFormat="1"/>
    <row r="48" spans="1:33"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 spans="1:33"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 spans="1:33"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 spans="1:33"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 spans="1:33"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 spans="1:33"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 spans="1:33"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 spans="1:33">
      <c r="A55" s="35"/>
    </row>
    <row r="56" spans="1:33">
      <c r="A56" s="35"/>
    </row>
    <row r="57" spans="1:33">
      <c r="A57" s="35"/>
    </row>
    <row r="58" spans="1:33">
      <c r="A58" s="35"/>
    </row>
    <row r="59" spans="1:33">
      <c r="A59" s="35"/>
    </row>
    <row r="60" spans="1:33">
      <c r="A60" s="35"/>
    </row>
    <row r="61" spans="1:33">
      <c r="A61" s="35"/>
    </row>
    <row r="62" spans="1:33">
      <c r="A62" s="35"/>
    </row>
    <row r="63" spans="1:33">
      <c r="A63" s="35"/>
    </row>
    <row r="64" spans="1:33">
      <c r="A64" s="35"/>
    </row>
    <row r="65" spans="1:1">
      <c r="A65" s="35"/>
    </row>
    <row r="66" spans="1:1">
      <c r="A66" s="35"/>
    </row>
    <row r="67" spans="1:1">
      <c r="A67" s="35"/>
    </row>
    <row r="68" spans="1:1">
      <c r="A68" s="35"/>
    </row>
    <row r="69" spans="1:1">
      <c r="A69" s="35"/>
    </row>
    <row r="70" spans="1:1">
      <c r="A70" s="35"/>
    </row>
    <row r="71" spans="1:1">
      <c r="A71" s="35"/>
    </row>
    <row r="72" spans="1:1">
      <c r="A72" s="35"/>
    </row>
    <row r="73" spans="1:1">
      <c r="A73" s="35"/>
    </row>
    <row r="74" spans="1:1">
      <c r="A74" s="35"/>
    </row>
    <row r="75" spans="1:1">
      <c r="A75" s="35"/>
    </row>
    <row r="76" spans="1:1">
      <c r="A76" s="35"/>
    </row>
    <row r="77" spans="1:1">
      <c r="A77" s="35"/>
    </row>
    <row r="78" spans="1:1">
      <c r="A78" s="35"/>
    </row>
    <row r="79" spans="1:1">
      <c r="A79" s="35"/>
    </row>
    <row r="80" spans="1:1">
      <c r="A80" s="35"/>
    </row>
    <row r="81" spans="1:1">
      <c r="A81" s="35"/>
    </row>
    <row r="82" spans="1:1">
      <c r="A82" s="35"/>
    </row>
    <row r="83" spans="1:1">
      <c r="A83" s="35"/>
    </row>
    <row r="84" spans="1:1">
      <c r="A84" s="35"/>
    </row>
    <row r="85" spans="1:1">
      <c r="A85" s="35"/>
    </row>
  </sheetData>
  <sortState xmlns:xlrd2="http://schemas.microsoft.com/office/spreadsheetml/2017/richdata2" ref="H3:K33">
    <sortCondition ref="H3:H33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2FF31-43FD-CA47-8BF1-94BF9BB2068D}">
  <dimension ref="A1:N33"/>
  <sheetViews>
    <sheetView workbookViewId="0">
      <selection activeCell="E19" sqref="E19"/>
    </sheetView>
  </sheetViews>
  <sheetFormatPr baseColWidth="10" defaultRowHeight="16"/>
  <cols>
    <col min="1" max="2" width="10.83203125" style="4"/>
    <col min="3" max="3" width="21.6640625" style="4" bestFit="1" customWidth="1"/>
    <col min="4" max="4" width="10.83203125" style="4"/>
    <col min="5" max="5" width="24.83203125" style="4" customWidth="1"/>
    <col min="6" max="11" width="10.83203125" style="6"/>
    <col min="12" max="12" width="19.6640625" style="6" customWidth="1"/>
    <col min="13" max="16384" width="10.83203125" style="6"/>
  </cols>
  <sheetData>
    <row r="1" spans="1:14">
      <c r="A1" s="4" t="s">
        <v>0</v>
      </c>
      <c r="B1" s="5" t="s">
        <v>110</v>
      </c>
      <c r="C1" s="4" t="s">
        <v>2</v>
      </c>
      <c r="D1" s="4" t="s">
        <v>99</v>
      </c>
      <c r="E1" s="5" t="s">
        <v>4</v>
      </c>
    </row>
    <row r="2" spans="1:14">
      <c r="A2" s="4" t="s">
        <v>5</v>
      </c>
      <c r="B2" s="5" t="s">
        <v>104</v>
      </c>
      <c r="C2" s="4" t="s">
        <v>102</v>
      </c>
      <c r="D2" s="4" t="s">
        <v>100</v>
      </c>
      <c r="E2" s="5" t="s">
        <v>105</v>
      </c>
    </row>
    <row r="3" spans="1:14">
      <c r="A3" s="32" t="s">
        <v>7</v>
      </c>
      <c r="B3">
        <v>1.136873169064325</v>
      </c>
      <c r="C3" s="10">
        <v>7334.46</v>
      </c>
      <c r="D3" s="4">
        <v>61.955119427962899</v>
      </c>
      <c r="E3" s="5">
        <v>0.15500434511393138</v>
      </c>
      <c r="F3"/>
    </row>
    <row r="4" spans="1:14">
      <c r="A4" s="31" t="s">
        <v>122</v>
      </c>
      <c r="B4">
        <v>2.4384246342857144E-6</v>
      </c>
      <c r="C4" s="10">
        <v>89.47</v>
      </c>
      <c r="D4" s="7">
        <v>99.594893199116129</v>
      </c>
      <c r="E4" s="5">
        <v>2.725410343451117E-5</v>
      </c>
      <c r="F4"/>
      <c r="H4" s="8"/>
      <c r="I4" s="8"/>
      <c r="J4" s="8"/>
      <c r="N4" s="8"/>
    </row>
    <row r="5" spans="1:14">
      <c r="A5" s="32" t="s">
        <v>10</v>
      </c>
      <c r="B5">
        <v>0.20768459556555752</v>
      </c>
      <c r="C5" s="10">
        <v>2025.93</v>
      </c>
      <c r="D5" s="4">
        <v>41.559481240326626</v>
      </c>
      <c r="E5" s="5">
        <v>0.10251321396373889</v>
      </c>
      <c r="F5"/>
    </row>
    <row r="6" spans="1:14">
      <c r="A6" s="32" t="s">
        <v>12</v>
      </c>
      <c r="B6">
        <v>0.13988200128459069</v>
      </c>
      <c r="C6" s="10">
        <v>841.1</v>
      </c>
      <c r="D6" s="4">
        <v>5.6727238489784382</v>
      </c>
      <c r="E6" s="5">
        <v>0.16630840718653037</v>
      </c>
      <c r="F6"/>
    </row>
    <row r="7" spans="1:14">
      <c r="A7" s="32" t="s">
        <v>16</v>
      </c>
      <c r="B7">
        <v>0.56785028858304287</v>
      </c>
      <c r="C7" s="10">
        <v>2710.93</v>
      </c>
      <c r="D7" s="4">
        <v>99.87565228251367</v>
      </c>
      <c r="E7" s="5">
        <v>0.20946696837728859</v>
      </c>
      <c r="F7"/>
    </row>
    <row r="8" spans="1:14">
      <c r="A8" s="32" t="s">
        <v>14</v>
      </c>
      <c r="B8">
        <v>1.2489348178223859E-4</v>
      </c>
      <c r="C8" s="10">
        <v>2229.5100000000002</v>
      </c>
      <c r="D8" s="4">
        <v>6.8638842174998729</v>
      </c>
      <c r="E8" s="5">
        <v>5.6018354608070187E-5</v>
      </c>
      <c r="F8"/>
    </row>
    <row r="9" spans="1:14">
      <c r="A9" s="32" t="s">
        <v>18</v>
      </c>
      <c r="B9">
        <v>0.50631971903816431</v>
      </c>
      <c r="C9" s="10">
        <v>2834.72</v>
      </c>
      <c r="D9" s="4">
        <v>26.076880447377697</v>
      </c>
      <c r="E9" s="5">
        <v>0.17861366168022391</v>
      </c>
      <c r="F9"/>
    </row>
    <row r="10" spans="1:14">
      <c r="A10" s="32" t="s">
        <v>20</v>
      </c>
      <c r="B10">
        <v>0.1711944996629875</v>
      </c>
      <c r="C10" s="10">
        <v>2773.8</v>
      </c>
      <c r="D10" s="4">
        <v>58.164277276240753</v>
      </c>
      <c r="E10" s="5">
        <v>6.1718400628375331E-2</v>
      </c>
      <c r="F10"/>
    </row>
    <row r="11" spans="1:14">
      <c r="A11" s="32" t="s">
        <v>22</v>
      </c>
      <c r="B11">
        <v>6.8287809615252146E-2</v>
      </c>
      <c r="C11" s="10">
        <v>273.58999999999997</v>
      </c>
      <c r="D11" s="4">
        <v>0</v>
      </c>
      <c r="E11" s="5">
        <v>0.24959907019720073</v>
      </c>
      <c r="F11"/>
    </row>
    <row r="12" spans="1:14">
      <c r="A12" s="32" t="s">
        <v>24</v>
      </c>
      <c r="B12">
        <v>7.5873937931161079E-5</v>
      </c>
      <c r="C12" s="10">
        <v>6455.19</v>
      </c>
      <c r="D12" s="4">
        <v>98.724884616719294</v>
      </c>
      <c r="E12" s="5">
        <v>1.1753943405408839E-5</v>
      </c>
      <c r="F12"/>
    </row>
    <row r="13" spans="1:14">
      <c r="A13" s="32" t="s">
        <v>28</v>
      </c>
      <c r="B13">
        <v>0.25135037722419712</v>
      </c>
      <c r="C13" s="10">
        <v>14743.09</v>
      </c>
      <c r="D13" s="7">
        <v>66.440509510716112</v>
      </c>
      <c r="E13" s="5">
        <v>1.7048690418643386E-2</v>
      </c>
      <c r="F13"/>
      <c r="I13" s="8"/>
      <c r="N13" s="8"/>
    </row>
    <row r="14" spans="1:14">
      <c r="A14" s="32" t="s">
        <v>26</v>
      </c>
      <c r="B14">
        <v>2.1086877574096574</v>
      </c>
      <c r="C14" s="10">
        <v>10785.29</v>
      </c>
      <c r="D14" s="4">
        <v>94.174746750627875</v>
      </c>
      <c r="E14" s="5">
        <v>0.19551516532329286</v>
      </c>
      <c r="F14"/>
      <c r="H14" s="8"/>
      <c r="J14" s="8"/>
    </row>
    <row r="15" spans="1:14">
      <c r="A15" s="31" t="s">
        <v>30</v>
      </c>
      <c r="B15">
        <v>0.96016861820538568</v>
      </c>
      <c r="C15" s="10">
        <v>4706.97</v>
      </c>
      <c r="D15" s="4">
        <v>44.231396446656937</v>
      </c>
      <c r="E15" s="5">
        <v>0.20398868448394308</v>
      </c>
      <c r="F15"/>
    </row>
    <row r="16" spans="1:14">
      <c r="A16" s="32" t="s">
        <v>32</v>
      </c>
      <c r="B16">
        <v>1.1105471354913357</v>
      </c>
      <c r="C16" s="10">
        <v>4763.4799999999996</v>
      </c>
      <c r="D16" s="4">
        <v>9.8175096591700992</v>
      </c>
      <c r="E16" s="5">
        <v>0.23313777647672201</v>
      </c>
      <c r="F16"/>
    </row>
    <row r="17" spans="1:14">
      <c r="A17" s="32" t="s">
        <v>40</v>
      </c>
      <c r="B17">
        <v>0.4476716684818714</v>
      </c>
      <c r="C17" s="10">
        <v>6984.73</v>
      </c>
      <c r="D17" s="4">
        <v>97.838490831037788</v>
      </c>
      <c r="E17" s="5">
        <v>6.4092909601641226E-2</v>
      </c>
      <c r="F17"/>
    </row>
    <row r="18" spans="1:14">
      <c r="A18" s="32" t="s">
        <v>36</v>
      </c>
      <c r="B18">
        <v>1.065444247972718</v>
      </c>
      <c r="C18" s="10">
        <v>5458.94</v>
      </c>
      <c r="D18" s="4">
        <v>56.440766055090855</v>
      </c>
      <c r="E18" s="5">
        <v>0.19517420011443942</v>
      </c>
      <c r="F18"/>
    </row>
    <row r="19" spans="1:14">
      <c r="A19" s="32" t="s">
        <v>38</v>
      </c>
      <c r="B19">
        <v>1.0549722350305142</v>
      </c>
      <c r="C19" s="10">
        <v>3774.29</v>
      </c>
      <c r="D19" s="4">
        <v>2.0791554895781785</v>
      </c>
      <c r="E19" s="5">
        <v>0.27951541482782566</v>
      </c>
      <c r="F19"/>
    </row>
    <row r="20" spans="1:14">
      <c r="A20" s="32" t="s">
        <v>42</v>
      </c>
      <c r="B20">
        <v>0.25319743390939392</v>
      </c>
      <c r="C20" s="10">
        <v>5825.61</v>
      </c>
      <c r="D20" s="4">
        <v>84.589009893810285</v>
      </c>
      <c r="E20" s="5">
        <v>4.3462819157031443E-2</v>
      </c>
      <c r="F20"/>
      <c r="H20" s="8"/>
    </row>
    <row r="21" spans="1:14">
      <c r="A21" s="32" t="s">
        <v>34</v>
      </c>
      <c r="B21">
        <v>8.2532666393003579E-2</v>
      </c>
      <c r="C21" s="10">
        <v>3578.39</v>
      </c>
      <c r="D21" s="4">
        <v>84.863671420146076</v>
      </c>
      <c r="E21" s="5">
        <v>2.3064189871144166E-2</v>
      </c>
      <c r="F21"/>
    </row>
    <row r="22" spans="1:14">
      <c r="A22" s="32" t="s">
        <v>44</v>
      </c>
      <c r="B22">
        <v>3.047379517084543E-2</v>
      </c>
      <c r="C22" s="10">
        <v>693.89</v>
      </c>
      <c r="D22" s="4">
        <v>95.801510788364425</v>
      </c>
      <c r="E22" s="5">
        <v>4.391732864120456E-2</v>
      </c>
      <c r="F22"/>
    </row>
    <row r="23" spans="1:14">
      <c r="A23" s="32" t="s">
        <v>46</v>
      </c>
      <c r="B23">
        <v>0</v>
      </c>
      <c r="C23" s="10">
        <v>304.89999999999998</v>
      </c>
      <c r="D23" s="4">
        <v>100</v>
      </c>
      <c r="E23" s="5">
        <v>0</v>
      </c>
      <c r="F23"/>
    </row>
    <row r="24" spans="1:14">
      <c r="A24" s="32" t="s">
        <v>56</v>
      </c>
      <c r="B24">
        <v>0.6362406729521678</v>
      </c>
      <c r="C24" s="10">
        <v>3022.97</v>
      </c>
      <c r="D24" s="4">
        <v>95.332076039702144</v>
      </c>
      <c r="E24" s="5">
        <v>0.21046873536692981</v>
      </c>
      <c r="F24"/>
      <c r="J24" s="8"/>
    </row>
    <row r="25" spans="1:14">
      <c r="A25" s="32" t="s">
        <v>50</v>
      </c>
      <c r="B25">
        <v>4.9005040410684285E-2</v>
      </c>
      <c r="C25" s="10">
        <v>8387.9</v>
      </c>
      <c r="D25" s="7">
        <v>98.735941874099751</v>
      </c>
      <c r="E25" s="5">
        <v>5.8423491470671182E-3</v>
      </c>
      <c r="F25"/>
      <c r="I25" s="8"/>
      <c r="N25" s="8"/>
    </row>
    <row r="26" spans="1:14">
      <c r="A26" s="32" t="s">
        <v>52</v>
      </c>
      <c r="B26">
        <v>3.7447283077384645E-2</v>
      </c>
      <c r="C26" s="10">
        <v>127.17</v>
      </c>
      <c r="D26" s="4">
        <v>15.683581124757598</v>
      </c>
      <c r="E26" s="5">
        <v>0.29446632914511794</v>
      </c>
      <c r="F26"/>
      <c r="J26" s="8"/>
      <c r="K26" s="8"/>
    </row>
    <row r="27" spans="1:14">
      <c r="A27" s="32" t="s">
        <v>48</v>
      </c>
      <c r="B27">
        <v>3.1342503602080254E-2</v>
      </c>
      <c r="C27" s="10">
        <v>3160.96</v>
      </c>
      <c r="D27" s="4">
        <v>99.90715417029017</v>
      </c>
      <c r="E27" s="5">
        <v>9.9155014938753575E-3</v>
      </c>
      <c r="F27"/>
    </row>
    <row r="28" spans="1:14">
      <c r="A28" s="32" t="s">
        <v>54</v>
      </c>
      <c r="B28">
        <v>1.6568510315763501E-5</v>
      </c>
      <c r="C28" s="10">
        <v>6403.97</v>
      </c>
      <c r="D28" s="4">
        <v>57.130244877096793</v>
      </c>
      <c r="E28" s="5">
        <v>2.5872248489239485E-6</v>
      </c>
      <c r="F28"/>
    </row>
    <row r="29" spans="1:14">
      <c r="A29" s="31" t="s">
        <v>58</v>
      </c>
      <c r="B29">
        <v>4.2516416071428573E-3</v>
      </c>
      <c r="C29" s="10">
        <v>390.03</v>
      </c>
      <c r="D29" s="4">
        <v>85.469394355947287</v>
      </c>
      <c r="E29" s="5">
        <v>1.0900806622933768E-2</v>
      </c>
      <c r="F29"/>
      <c r="J29" s="8"/>
    </row>
    <row r="30" spans="1:14">
      <c r="A30" s="32" t="s">
        <v>62</v>
      </c>
      <c r="B30">
        <v>0</v>
      </c>
      <c r="C30" s="10">
        <v>2824.76</v>
      </c>
      <c r="D30" s="4">
        <v>97.779499096307774</v>
      </c>
      <c r="E30" s="5">
        <v>0</v>
      </c>
      <c r="F30"/>
    </row>
    <row r="31" spans="1:14">
      <c r="A31" s="32" t="s">
        <v>60</v>
      </c>
      <c r="B31">
        <v>1.2691557864392429E-6</v>
      </c>
      <c r="C31" s="12">
        <v>194.58</v>
      </c>
      <c r="D31" s="7">
        <v>98.524118472527761</v>
      </c>
      <c r="E31" s="5">
        <v>6.52253975968364E-6</v>
      </c>
      <c r="F31"/>
      <c r="I31" s="8"/>
      <c r="J31" s="8"/>
      <c r="N31" s="8"/>
    </row>
    <row r="32" spans="1:14">
      <c r="A32" s="32" t="s">
        <v>64</v>
      </c>
      <c r="B32">
        <v>0.18832402782523466</v>
      </c>
      <c r="C32" s="10">
        <v>4243.22</v>
      </c>
      <c r="D32" s="4">
        <v>76.298746324957008</v>
      </c>
      <c r="E32" s="5">
        <v>4.4382338842962332E-2</v>
      </c>
      <c r="F32"/>
    </row>
    <row r="33" spans="1:6">
      <c r="A33" s="32" t="s">
        <v>66</v>
      </c>
      <c r="B33">
        <v>0.19515889852438645</v>
      </c>
      <c r="C33" s="10">
        <v>1024.68</v>
      </c>
      <c r="D33" s="4">
        <v>21.770995310936726</v>
      </c>
      <c r="E33" s="5">
        <v>0.19045838556855454</v>
      </c>
      <c r="F3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A273E-C207-7746-80B1-CE00C6636DC1}">
  <dimension ref="A1:E33"/>
  <sheetViews>
    <sheetView workbookViewId="0">
      <selection activeCell="E3" sqref="E3:E33"/>
    </sheetView>
  </sheetViews>
  <sheetFormatPr baseColWidth="10" defaultRowHeight="16"/>
  <cols>
    <col min="1" max="2" width="10.83203125" style="11"/>
    <col min="3" max="3" width="24" style="11" bestFit="1" customWidth="1"/>
    <col min="4" max="4" width="26.6640625" style="11" bestFit="1" customWidth="1"/>
    <col min="5" max="5" width="28.33203125" style="11" bestFit="1" customWidth="1"/>
    <col min="6" max="16384" width="10.83203125" style="11"/>
  </cols>
  <sheetData>
    <row r="1" spans="1:5">
      <c r="A1" s="11" t="s">
        <v>0</v>
      </c>
      <c r="B1" s="11" t="s">
        <v>111</v>
      </c>
      <c r="C1" s="11" t="s">
        <v>2</v>
      </c>
      <c r="D1" s="11" t="s">
        <v>99</v>
      </c>
      <c r="E1" s="11" t="s">
        <v>4</v>
      </c>
    </row>
    <row r="2" spans="1:5">
      <c r="A2" s="11" t="s">
        <v>5</v>
      </c>
      <c r="B2" s="11" t="s">
        <v>104</v>
      </c>
      <c r="C2" s="11" t="s">
        <v>102</v>
      </c>
      <c r="D2" s="11" t="s">
        <v>100</v>
      </c>
      <c r="E2" s="11" t="s">
        <v>105</v>
      </c>
    </row>
    <row r="3" spans="1:5">
      <c r="A3" s="32" t="s">
        <v>7</v>
      </c>
      <c r="B3">
        <v>0.344508706224401</v>
      </c>
      <c r="C3" s="10">
        <v>7334.46</v>
      </c>
      <c r="D3" s="11">
        <v>61.955119427962899</v>
      </c>
      <c r="E3" s="11">
        <f>B3*1000000/C3/1000</f>
        <v>4.6971243448652118E-2</v>
      </c>
    </row>
    <row r="4" spans="1:5">
      <c r="A4" s="31" t="s">
        <v>122</v>
      </c>
      <c r="B4">
        <v>2.3532788682682399E-2</v>
      </c>
      <c r="C4" s="10">
        <v>89.47</v>
      </c>
      <c r="D4" s="11">
        <v>99.594893199116129</v>
      </c>
      <c r="E4" s="11">
        <f t="shared" ref="E4:E33" si="0">B4*1000000/C4/1000</f>
        <v>0.26302435098560856</v>
      </c>
    </row>
    <row r="5" spans="1:5">
      <c r="A5" s="32" t="s">
        <v>10</v>
      </c>
      <c r="B5">
        <v>9.5742337555794504E-2</v>
      </c>
      <c r="C5" s="10">
        <v>2025.93</v>
      </c>
      <c r="D5" s="11">
        <v>41.559481240326626</v>
      </c>
      <c r="E5" s="11">
        <f t="shared" si="0"/>
        <v>4.7258462807596761E-2</v>
      </c>
    </row>
    <row r="6" spans="1:5">
      <c r="A6" s="32" t="s">
        <v>12</v>
      </c>
      <c r="B6">
        <v>1.45218481483351E-2</v>
      </c>
      <c r="C6" s="10">
        <v>841.1</v>
      </c>
      <c r="D6" s="11">
        <v>5.6727238489784382</v>
      </c>
      <c r="E6" s="11">
        <f t="shared" si="0"/>
        <v>1.7265305134151823E-2</v>
      </c>
    </row>
    <row r="7" spans="1:5">
      <c r="A7" s="32" t="s">
        <v>16</v>
      </c>
      <c r="B7">
        <v>5.9646896221161101E-2</v>
      </c>
      <c r="C7" s="10">
        <v>2710.93</v>
      </c>
      <c r="D7" s="11">
        <v>99.87565228251367</v>
      </c>
      <c r="E7" s="11">
        <f t="shared" si="0"/>
        <v>2.2002374174604693E-2</v>
      </c>
    </row>
    <row r="8" spans="1:5">
      <c r="A8" s="32" t="s">
        <v>14</v>
      </c>
      <c r="B8">
        <v>0.33651009445411101</v>
      </c>
      <c r="C8" s="10">
        <v>2229.5100000000002</v>
      </c>
      <c r="D8" s="11">
        <v>6.8638842174998729</v>
      </c>
      <c r="E8" s="11">
        <f t="shared" si="0"/>
        <v>0.15093455263897043</v>
      </c>
    </row>
    <row r="9" spans="1:5">
      <c r="A9" s="32" t="s">
        <v>18</v>
      </c>
      <c r="B9">
        <v>7.8197999685334599E-2</v>
      </c>
      <c r="C9" s="10">
        <v>2834.72</v>
      </c>
      <c r="D9" s="11">
        <v>26.076880447377697</v>
      </c>
      <c r="E9" s="11">
        <f t="shared" si="0"/>
        <v>2.7585793194860375E-2</v>
      </c>
    </row>
    <row r="10" spans="1:5">
      <c r="A10" s="32" t="s">
        <v>20</v>
      </c>
      <c r="B10">
        <v>5.2377982894905403E-2</v>
      </c>
      <c r="C10" s="10">
        <v>2773.8</v>
      </c>
      <c r="D10" s="11">
        <v>58.164277276240753</v>
      </c>
      <c r="E10" s="11">
        <f t="shared" si="0"/>
        <v>1.8883114462075638E-2</v>
      </c>
    </row>
    <row r="11" spans="1:5">
      <c r="A11" s="32" t="s">
        <v>22</v>
      </c>
      <c r="B11">
        <v>1.0559345649209099E-2</v>
      </c>
      <c r="C11" s="10">
        <v>273.58999999999997</v>
      </c>
      <c r="D11" s="11">
        <v>0</v>
      </c>
      <c r="E11" s="11">
        <f t="shared" si="0"/>
        <v>3.859551024967689E-2</v>
      </c>
    </row>
    <row r="12" spans="1:5">
      <c r="A12" s="32" t="s">
        <v>24</v>
      </c>
      <c r="B12">
        <v>1.26642158308516</v>
      </c>
      <c r="C12" s="10">
        <v>6455.19</v>
      </c>
      <c r="D12" s="11">
        <v>98.724884616719294</v>
      </c>
      <c r="E12" s="11">
        <f t="shared" si="0"/>
        <v>0.19618656973461046</v>
      </c>
    </row>
    <row r="13" spans="1:5">
      <c r="A13" s="32" t="s">
        <v>28</v>
      </c>
      <c r="B13">
        <v>2.1530778530804402</v>
      </c>
      <c r="C13" s="10">
        <v>14743.09</v>
      </c>
      <c r="D13" s="11">
        <v>66.440509510716112</v>
      </c>
      <c r="E13" s="11">
        <f t="shared" si="0"/>
        <v>0.1460397958013171</v>
      </c>
    </row>
    <row r="14" spans="1:5">
      <c r="A14" s="32" t="s">
        <v>26</v>
      </c>
      <c r="B14">
        <v>0.90660082360618799</v>
      </c>
      <c r="C14" s="10">
        <v>10785.29</v>
      </c>
      <c r="D14" s="11">
        <v>94.174746750627875</v>
      </c>
      <c r="E14" s="11">
        <f t="shared" si="0"/>
        <v>8.405901219217915E-2</v>
      </c>
    </row>
    <row r="15" spans="1:5">
      <c r="A15" s="31" t="s">
        <v>30</v>
      </c>
      <c r="B15">
        <v>0.19785647319402</v>
      </c>
      <c r="C15" s="10">
        <v>4706.97</v>
      </c>
      <c r="D15" s="11">
        <v>44.231396446656937</v>
      </c>
      <c r="E15" s="11">
        <f t="shared" si="0"/>
        <v>4.203478526398511E-2</v>
      </c>
    </row>
    <row r="16" spans="1:5">
      <c r="A16" s="32" t="s">
        <v>32</v>
      </c>
      <c r="B16">
        <v>0.13102481382636699</v>
      </c>
      <c r="C16" s="10">
        <v>4763.4799999999996</v>
      </c>
      <c r="D16" s="11">
        <v>9.8175096591700992</v>
      </c>
      <c r="E16" s="11">
        <f t="shared" si="0"/>
        <v>2.7506111881726598E-2</v>
      </c>
    </row>
    <row r="17" spans="1:5">
      <c r="A17" s="32" t="s">
        <v>40</v>
      </c>
      <c r="B17">
        <v>0.45577613407732498</v>
      </c>
      <c r="C17" s="10">
        <v>6984.73</v>
      </c>
      <c r="D17" s="11">
        <v>97.838490831037788</v>
      </c>
      <c r="E17" s="11">
        <f t="shared" si="0"/>
        <v>6.5253221538602788E-2</v>
      </c>
    </row>
    <row r="18" spans="1:5">
      <c r="A18" s="32" t="s">
        <v>36</v>
      </c>
      <c r="B18">
        <v>0.30814222342198599</v>
      </c>
      <c r="C18" s="10">
        <v>5458.94</v>
      </c>
      <c r="D18" s="11">
        <v>56.440766055090855</v>
      </c>
      <c r="E18" s="11">
        <f t="shared" si="0"/>
        <v>5.644726328224637E-2</v>
      </c>
    </row>
    <row r="19" spans="1:5">
      <c r="A19" s="32" t="s">
        <v>38</v>
      </c>
      <c r="B19">
        <v>6.66117138401775E-2</v>
      </c>
      <c r="C19" s="10">
        <v>3774.29</v>
      </c>
      <c r="D19" s="11">
        <v>2.0791554895781785</v>
      </c>
      <c r="E19" s="11">
        <f t="shared" si="0"/>
        <v>1.7648806488154724E-2</v>
      </c>
    </row>
    <row r="20" spans="1:5">
      <c r="A20" s="32" t="s">
        <v>42</v>
      </c>
      <c r="B20">
        <v>0.417375135737027</v>
      </c>
      <c r="C20" s="10">
        <v>5825.61</v>
      </c>
      <c r="D20" s="11">
        <v>84.589009893810285</v>
      </c>
      <c r="E20" s="11">
        <f t="shared" si="0"/>
        <v>7.1644881091770127E-2</v>
      </c>
    </row>
    <row r="21" spans="1:5">
      <c r="A21" s="32" t="s">
        <v>34</v>
      </c>
      <c r="B21">
        <v>0.32615864981383202</v>
      </c>
      <c r="C21" s="10">
        <v>3578.39</v>
      </c>
      <c r="D21" s="11">
        <v>84.863671420146076</v>
      </c>
      <c r="E21" s="11">
        <f t="shared" si="0"/>
        <v>9.114675868584253E-2</v>
      </c>
    </row>
    <row r="22" spans="1:5">
      <c r="A22" s="32" t="s">
        <v>44</v>
      </c>
      <c r="B22">
        <v>6.3708399270193797E-2</v>
      </c>
      <c r="C22" s="10">
        <v>693.89</v>
      </c>
      <c r="D22" s="11">
        <v>95.801510788364425</v>
      </c>
      <c r="E22" s="11">
        <f t="shared" si="0"/>
        <v>9.1813398766654369E-2</v>
      </c>
    </row>
    <row r="23" spans="1:5">
      <c r="A23" s="32" t="s">
        <v>46</v>
      </c>
      <c r="B23">
        <v>2.39216791086409E-2</v>
      </c>
      <c r="C23" s="10">
        <v>304.89999999999998</v>
      </c>
      <c r="D23" s="11">
        <v>100</v>
      </c>
      <c r="E23" s="11">
        <f t="shared" si="0"/>
        <v>7.8457458539327313E-2</v>
      </c>
    </row>
    <row r="24" spans="1:5">
      <c r="A24" s="32" t="s">
        <v>56</v>
      </c>
      <c r="B24">
        <v>0.32200548493151698</v>
      </c>
      <c r="C24" s="10">
        <v>3022.97</v>
      </c>
      <c r="D24" s="11">
        <v>95.332076039702144</v>
      </c>
      <c r="E24" s="11">
        <f t="shared" si="0"/>
        <v>0.10651957675118079</v>
      </c>
    </row>
    <row r="25" spans="1:5">
      <c r="A25" s="32" t="s">
        <v>50</v>
      </c>
      <c r="B25">
        <v>1.9463631631415499</v>
      </c>
      <c r="C25" s="10">
        <v>8387.9</v>
      </c>
      <c r="D25" s="11">
        <v>98.735941874099751</v>
      </c>
      <c r="E25" s="11">
        <f t="shared" si="0"/>
        <v>0.23204415445362367</v>
      </c>
    </row>
    <row r="26" spans="1:5">
      <c r="A26" s="32" t="s">
        <v>52</v>
      </c>
      <c r="B26">
        <v>7.1533763491744597E-3</v>
      </c>
      <c r="C26" s="10">
        <v>127.17</v>
      </c>
      <c r="D26" s="11">
        <v>15.683581124757598</v>
      </c>
      <c r="E26" s="11">
        <f t="shared" si="0"/>
        <v>5.6250502077333175E-2</v>
      </c>
    </row>
    <row r="27" spans="1:5">
      <c r="A27" s="32" t="s">
        <v>48</v>
      </c>
      <c r="B27">
        <v>0.273519868239542</v>
      </c>
      <c r="C27" s="10">
        <v>3160.96</v>
      </c>
      <c r="D27" s="11">
        <v>99.90715417029017</v>
      </c>
      <c r="E27" s="11">
        <f t="shared" si="0"/>
        <v>8.6530632541867658E-2</v>
      </c>
    </row>
    <row r="28" spans="1:5">
      <c r="A28" s="32" t="s">
        <v>54</v>
      </c>
      <c r="B28">
        <v>0.41347254480915901</v>
      </c>
      <c r="C28" s="10">
        <v>6403.97</v>
      </c>
      <c r="D28" s="11">
        <v>57.130244877096793</v>
      </c>
      <c r="E28" s="11">
        <f t="shared" si="0"/>
        <v>6.4565034628388182E-2</v>
      </c>
    </row>
    <row r="29" spans="1:5">
      <c r="A29" s="31" t="s">
        <v>58</v>
      </c>
      <c r="B29">
        <v>7.5404454839990698E-2</v>
      </c>
      <c r="C29" s="10">
        <v>390.03</v>
      </c>
      <c r="D29" s="11">
        <v>85.469394355947287</v>
      </c>
      <c r="E29" s="11">
        <f t="shared" si="0"/>
        <v>0.1933298844704015</v>
      </c>
    </row>
    <row r="30" spans="1:5">
      <c r="A30" s="32" t="s">
        <v>62</v>
      </c>
      <c r="B30">
        <v>0.14881950441484401</v>
      </c>
      <c r="C30" s="10">
        <v>2824.76</v>
      </c>
      <c r="D30" s="11">
        <v>97.779499096307774</v>
      </c>
      <c r="E30" s="11">
        <f t="shared" si="0"/>
        <v>5.2683946393620694E-2</v>
      </c>
    </row>
    <row r="31" spans="1:5">
      <c r="A31" s="32" t="s">
        <v>60</v>
      </c>
      <c r="B31">
        <v>3.0312087731685401E-3</v>
      </c>
      <c r="C31" s="12">
        <v>194.58</v>
      </c>
      <c r="D31" s="11">
        <v>98.524118472527761</v>
      </c>
      <c r="E31" s="11">
        <f t="shared" si="0"/>
        <v>1.5578213450347107E-2</v>
      </c>
    </row>
    <row r="32" spans="1:5">
      <c r="A32" s="32" t="s">
        <v>64</v>
      </c>
      <c r="B32">
        <v>6.0134137175909E-2</v>
      </c>
      <c r="C32" s="10">
        <v>4243.22</v>
      </c>
      <c r="D32" s="11">
        <v>76.298746324957008</v>
      </c>
      <c r="E32" s="11">
        <f t="shared" si="0"/>
        <v>1.4171816963510966E-2</v>
      </c>
    </row>
    <row r="33" spans="1:5">
      <c r="A33" s="32" t="s">
        <v>66</v>
      </c>
      <c r="B33">
        <v>6.6662327397583598E-2</v>
      </c>
      <c r="C33" s="10">
        <v>1024.68</v>
      </c>
      <c r="D33" s="11">
        <v>21.770995310936726</v>
      </c>
      <c r="E33" s="11">
        <f t="shared" si="0"/>
        <v>6.5056727366186118E-2</v>
      </c>
    </row>
  </sheetData>
  <sortState xmlns:xlrd2="http://schemas.microsoft.com/office/spreadsheetml/2017/richdata2" ref="A4:E33">
    <sortCondition ref="A3:A33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D2353-F5BD-C745-AFFD-F3A994FB67F7}">
  <dimension ref="A1:O36"/>
  <sheetViews>
    <sheetView workbookViewId="0">
      <selection activeCell="E36" sqref="E36"/>
    </sheetView>
  </sheetViews>
  <sheetFormatPr baseColWidth="10" defaultRowHeight="16"/>
  <cols>
    <col min="1" max="1" width="10.83203125" style="16"/>
    <col min="2" max="3" width="10.83203125" style="12"/>
    <col min="4" max="4" width="10.83203125" style="15"/>
    <col min="5" max="5" width="28.5" style="16" customWidth="1"/>
    <col min="6" max="6" width="10.83203125" style="15"/>
    <col min="7" max="7" width="19.1640625" style="15" bestFit="1" customWidth="1"/>
    <col min="8" max="8" width="19.1640625" style="15" customWidth="1"/>
    <col min="9" max="9" width="26" style="15" bestFit="1" customWidth="1"/>
    <col min="10" max="14" width="10.83203125" style="11"/>
    <col min="15" max="15" width="14.1640625" style="11" bestFit="1" customWidth="1"/>
    <col min="16" max="16384" width="10.83203125" style="11"/>
  </cols>
  <sheetData>
    <row r="1" spans="1:15">
      <c r="A1" s="16" t="s">
        <v>0</v>
      </c>
      <c r="B1" s="12" t="s">
        <v>127</v>
      </c>
      <c r="C1" s="12" t="s">
        <v>118</v>
      </c>
      <c r="D1" s="16" t="s">
        <v>120</v>
      </c>
      <c r="E1" s="16" t="s">
        <v>112</v>
      </c>
      <c r="F1" s="14" t="s">
        <v>114</v>
      </c>
      <c r="G1" s="14" t="s">
        <v>116</v>
      </c>
      <c r="H1" s="14" t="s">
        <v>121</v>
      </c>
      <c r="I1" s="15" t="s">
        <v>113</v>
      </c>
      <c r="J1" s="14" t="s">
        <v>117</v>
      </c>
      <c r="L1" s="17"/>
      <c r="M1" s="17"/>
      <c r="N1" s="17"/>
    </row>
    <row r="2" spans="1:15">
      <c r="A2" s="16" t="s">
        <v>106</v>
      </c>
      <c r="B2" s="12" t="s">
        <v>101</v>
      </c>
      <c r="C2" s="12" t="s">
        <v>101</v>
      </c>
      <c r="D2" s="16" t="s">
        <v>106</v>
      </c>
      <c r="E2" s="16" t="s">
        <v>104</v>
      </c>
      <c r="F2" s="14" t="s">
        <v>115</v>
      </c>
      <c r="G2" s="14" t="s">
        <v>6</v>
      </c>
      <c r="H2" s="16" t="s">
        <v>104</v>
      </c>
      <c r="I2" s="14" t="s">
        <v>115</v>
      </c>
      <c r="J2" s="14" t="s">
        <v>6</v>
      </c>
      <c r="L2" s="18"/>
      <c r="M2" s="19"/>
      <c r="N2" s="19"/>
    </row>
    <row r="3" spans="1:15">
      <c r="A3" s="16" t="s">
        <v>68</v>
      </c>
      <c r="B3" s="12">
        <v>-10.908241681538982</v>
      </c>
      <c r="C3" s="12">
        <v>17.224346627655425</v>
      </c>
      <c r="D3" s="14" t="s">
        <v>8</v>
      </c>
      <c r="E3" s="19">
        <v>58.942717461710295</v>
      </c>
      <c r="F3" s="14">
        <v>7334.46</v>
      </c>
      <c r="G3" s="14">
        <v>4150.75</v>
      </c>
      <c r="H3" s="19">
        <v>67.589689804199438</v>
      </c>
      <c r="I3" s="14">
        <v>7044.56</v>
      </c>
      <c r="J3" s="12">
        <v>3540.86</v>
      </c>
      <c r="L3" s="18"/>
      <c r="M3" s="36" t="s">
        <v>7</v>
      </c>
      <c r="N3">
        <v>-6.6657354103160458</v>
      </c>
      <c r="O3">
        <v>-10.908241681538982</v>
      </c>
    </row>
    <row r="4" spans="1:15">
      <c r="A4" s="16" t="s">
        <v>69</v>
      </c>
      <c r="B4" s="12">
        <v>-39.054435983205316</v>
      </c>
      <c r="C4" s="12">
        <v>-50.296473525434301</v>
      </c>
      <c r="D4" s="14" t="s">
        <v>9</v>
      </c>
      <c r="E4" s="19">
        <v>0.72296990075272094</v>
      </c>
      <c r="F4" s="14">
        <v>89.47</v>
      </c>
      <c r="G4" s="14">
        <v>47.78</v>
      </c>
      <c r="H4" s="19">
        <v>1.322169033698475</v>
      </c>
      <c r="I4" s="14">
        <v>158.91</v>
      </c>
      <c r="J4" s="12">
        <v>96.13</v>
      </c>
      <c r="L4" s="18"/>
      <c r="M4" s="36" t="s">
        <v>126</v>
      </c>
      <c r="N4">
        <v>-0.3788208402298322</v>
      </c>
      <c r="O4">
        <v>-39.054435983205316</v>
      </c>
    </row>
    <row r="5" spans="1:15">
      <c r="A5" s="16" t="s">
        <v>70</v>
      </c>
      <c r="B5" s="12">
        <v>-24.199228873172139</v>
      </c>
      <c r="C5" s="12">
        <v>3.8620101407382834</v>
      </c>
      <c r="D5" s="14" t="s">
        <v>11</v>
      </c>
      <c r="E5" s="19">
        <v>10.723820296945991</v>
      </c>
      <c r="F5" s="14">
        <v>2025.93</v>
      </c>
      <c r="G5" s="14">
        <v>1095.9000000000001</v>
      </c>
      <c r="H5" s="19">
        <v>14.166237359079625</v>
      </c>
      <c r="I5" s="14">
        <v>2059.4499999999998</v>
      </c>
      <c r="J5" s="12">
        <v>1055.1500000000001</v>
      </c>
      <c r="L5" s="18"/>
      <c r="M5" s="36" t="s">
        <v>10</v>
      </c>
      <c r="N5">
        <v>-2.9392541058344026</v>
      </c>
      <c r="O5">
        <v>-24.199228873172139</v>
      </c>
    </row>
    <row r="6" spans="1:15">
      <c r="A6" s="16" t="s">
        <v>73</v>
      </c>
      <c r="B6" s="12">
        <v>-53.697913572211128</v>
      </c>
      <c r="C6" s="12">
        <v>-4.4344280691254445</v>
      </c>
      <c r="D6" s="14" t="s">
        <v>13</v>
      </c>
      <c r="E6" s="19">
        <v>7.6487337451780926</v>
      </c>
      <c r="F6" s="14">
        <v>841.1</v>
      </c>
      <c r="G6" s="14">
        <v>510.97</v>
      </c>
      <c r="H6" s="19">
        <v>15.024158698883435</v>
      </c>
      <c r="I6" s="14">
        <v>943.71</v>
      </c>
      <c r="J6" s="12">
        <v>534.67999999999995</v>
      </c>
      <c r="L6" s="18"/>
      <c r="M6" s="36" t="s">
        <v>12</v>
      </c>
      <c r="N6">
        <v>-6.9171734724118226</v>
      </c>
      <c r="O6">
        <v>-53.697913572211128</v>
      </c>
    </row>
    <row r="7" spans="1:15">
      <c r="A7" s="16" t="s">
        <v>74</v>
      </c>
      <c r="B7" s="12">
        <v>-32.765416216801171</v>
      </c>
      <c r="C7" s="12">
        <v>6.8782848779189703</v>
      </c>
      <c r="D7" s="14" t="s">
        <v>17</v>
      </c>
      <c r="E7" s="19">
        <v>25.221590456396985</v>
      </c>
      <c r="F7" s="14">
        <v>2229.5100000000002</v>
      </c>
      <c r="G7" s="14">
        <v>1285.19</v>
      </c>
      <c r="H7" s="19">
        <v>36.777165732048587</v>
      </c>
      <c r="I7" s="14">
        <v>2266.52</v>
      </c>
      <c r="J7" s="12">
        <v>1202.48</v>
      </c>
      <c r="L7" s="18"/>
      <c r="M7" s="36" t="s">
        <v>16</v>
      </c>
      <c r="N7">
        <v>-10.604568566069357</v>
      </c>
      <c r="O7">
        <v>-32.765416216801171</v>
      </c>
    </row>
    <row r="8" spans="1:15">
      <c r="A8" s="16" t="s">
        <v>71</v>
      </c>
      <c r="B8" s="12">
        <v>24.493908606401803</v>
      </c>
      <c r="C8" s="12">
        <v>13.909098230824993</v>
      </c>
      <c r="D8" s="14" t="s">
        <v>15</v>
      </c>
      <c r="E8" s="19">
        <v>10.127456556009038</v>
      </c>
      <c r="F8" s="14">
        <v>2710.93</v>
      </c>
      <c r="G8" s="14">
        <v>1272.9000000000001</v>
      </c>
      <c r="H8" s="19">
        <v>8.7901664995419626</v>
      </c>
      <c r="I8" s="14">
        <v>2750.87</v>
      </c>
      <c r="J8" s="12">
        <v>1117.47</v>
      </c>
      <c r="L8" s="18"/>
      <c r="M8" s="36" t="s">
        <v>14</v>
      </c>
      <c r="N8">
        <v>1.7355088223900266</v>
      </c>
      <c r="O8">
        <v>24.493908606401803</v>
      </c>
    </row>
    <row r="9" spans="1:15">
      <c r="A9" s="16" t="s">
        <v>75</v>
      </c>
      <c r="B9" s="12">
        <v>-33.508814584473754</v>
      </c>
      <c r="C9" s="12">
        <v>-3.8153731621068396</v>
      </c>
      <c r="D9" s="14" t="s">
        <v>19</v>
      </c>
      <c r="E9" s="19">
        <v>25.123575264253095</v>
      </c>
      <c r="F9" s="14">
        <v>2834.72</v>
      </c>
      <c r="G9" s="14">
        <v>1395.36</v>
      </c>
      <c r="H9" s="19">
        <v>36.465396659791907</v>
      </c>
      <c r="I9" s="14">
        <v>2974.13</v>
      </c>
      <c r="J9" s="12">
        <v>1450.71</v>
      </c>
      <c r="L9" s="18"/>
      <c r="M9" s="36" t="s">
        <v>18</v>
      </c>
      <c r="N9">
        <v>-11.069440505196695</v>
      </c>
      <c r="O9">
        <v>-33.508814584473754</v>
      </c>
    </row>
    <row r="10" spans="1:15">
      <c r="A10" s="16" t="s">
        <v>76</v>
      </c>
      <c r="B10" s="12">
        <v>-22.059299812443346</v>
      </c>
      <c r="C10" s="12">
        <v>4.0836625610039565</v>
      </c>
      <c r="D10" s="14" t="s">
        <v>21</v>
      </c>
      <c r="E10" s="19">
        <v>10.211564386096354</v>
      </c>
      <c r="F10" s="14">
        <v>2773.8</v>
      </c>
      <c r="G10" s="14">
        <v>1119.68</v>
      </c>
      <c r="H10" s="19">
        <v>12.941308712276129</v>
      </c>
      <c r="I10" s="14">
        <v>3090.86</v>
      </c>
      <c r="J10" s="12">
        <v>1075.75</v>
      </c>
      <c r="L10" s="18"/>
      <c r="M10" s="36" t="s">
        <v>20</v>
      </c>
      <c r="N10">
        <v>-2.4495776810841559</v>
      </c>
      <c r="O10">
        <v>-22.059299812443346</v>
      </c>
    </row>
    <row r="11" spans="1:15">
      <c r="A11" s="16" t="s">
        <v>77</v>
      </c>
      <c r="B11" s="12">
        <v>-45.013229554106914</v>
      </c>
      <c r="C11" s="12">
        <v>-12.773657668347671</v>
      </c>
      <c r="D11" s="14" t="s">
        <v>23</v>
      </c>
      <c r="E11" s="19">
        <v>3.6373529412489014</v>
      </c>
      <c r="F11" s="14">
        <v>273.58999999999997</v>
      </c>
      <c r="G11" s="14">
        <v>147.02000000000001</v>
      </c>
      <c r="H11" s="19">
        <v>6.1539249676148096</v>
      </c>
      <c r="I11" s="14">
        <v>365.47</v>
      </c>
      <c r="J11" s="12">
        <v>168.55</v>
      </c>
      <c r="L11" s="18"/>
      <c r="M11" s="36" t="s">
        <v>22</v>
      </c>
      <c r="N11">
        <v>-2.4177086210792695</v>
      </c>
      <c r="O11">
        <v>-45.013229554106914</v>
      </c>
    </row>
    <row r="12" spans="1:15">
      <c r="A12" s="16" t="s">
        <v>78</v>
      </c>
      <c r="B12" s="12">
        <v>-9.866823968841091</v>
      </c>
      <c r="C12" s="12">
        <v>6.2777729736364263</v>
      </c>
      <c r="D12" s="14" t="s">
        <v>25</v>
      </c>
      <c r="E12" s="19">
        <v>39.568015713843018</v>
      </c>
      <c r="F12" s="14">
        <v>6455.19</v>
      </c>
      <c r="G12" s="14">
        <v>3809.92</v>
      </c>
      <c r="H12" s="19">
        <v>45.027186769139277</v>
      </c>
      <c r="I12" s="14">
        <v>6607.32</v>
      </c>
      <c r="J12" s="13">
        <v>3584.87</v>
      </c>
      <c r="L12" s="18"/>
      <c r="M12" s="36" t="s">
        <v>24</v>
      </c>
      <c r="N12">
        <v>-3.8506866074827357</v>
      </c>
      <c r="O12">
        <v>-9.866823968841091</v>
      </c>
    </row>
    <row r="13" spans="1:15">
      <c r="A13" s="16" t="s">
        <v>80</v>
      </c>
      <c r="B13" s="12">
        <v>-10.273768520162353</v>
      </c>
      <c r="C13" s="12">
        <v>9.9682924399880513</v>
      </c>
      <c r="D13" s="14" t="s">
        <v>29</v>
      </c>
      <c r="E13" s="19">
        <v>70.717559493479058</v>
      </c>
      <c r="F13" s="14">
        <v>10785.29</v>
      </c>
      <c r="G13" s="14">
        <v>6624.27</v>
      </c>
      <c r="H13" s="19">
        <v>80.226043691123976</v>
      </c>
      <c r="I13" s="15">
        <v>10697.43</v>
      </c>
      <c r="J13" s="12">
        <v>6023.8</v>
      </c>
      <c r="L13" s="18"/>
      <c r="M13" s="36" t="s">
        <v>28</v>
      </c>
      <c r="N13">
        <v>-6.9628611293370355</v>
      </c>
      <c r="O13">
        <v>-10.273768520162353</v>
      </c>
    </row>
    <row r="14" spans="1:15">
      <c r="A14" s="16" t="s">
        <v>79</v>
      </c>
      <c r="B14" s="12">
        <v>7.0020943283850281</v>
      </c>
      <c r="C14" s="12">
        <v>10.391191632731461</v>
      </c>
      <c r="D14" s="14" t="s">
        <v>27</v>
      </c>
      <c r="E14" s="19">
        <v>94.394767008528305</v>
      </c>
      <c r="F14" s="14">
        <v>14743.09</v>
      </c>
      <c r="G14" s="14">
        <v>7788.22</v>
      </c>
      <c r="H14" s="19">
        <v>88.598402348027378</v>
      </c>
      <c r="I14" s="14">
        <v>13575.56</v>
      </c>
      <c r="J14" s="12">
        <v>7055.11</v>
      </c>
      <c r="L14" s="18"/>
      <c r="M14" s="36" t="s">
        <v>26</v>
      </c>
      <c r="N14">
        <v>5.959011802388261</v>
      </c>
      <c r="O14">
        <v>7.0020943283850281</v>
      </c>
    </row>
    <row r="15" spans="1:15">
      <c r="A15" s="16" t="s">
        <v>81</v>
      </c>
      <c r="B15" s="12">
        <v>-13.269693508731194</v>
      </c>
      <c r="C15" s="12">
        <v>7.3787511454986232</v>
      </c>
      <c r="D15" s="14" t="s">
        <v>31</v>
      </c>
      <c r="E15" s="19">
        <v>46.163253907706853</v>
      </c>
      <c r="F15" s="14">
        <v>4706.97</v>
      </c>
      <c r="G15" s="14">
        <v>2777.04</v>
      </c>
      <c r="H15" s="19">
        <v>54.841944976184379</v>
      </c>
      <c r="I15" s="14">
        <v>4416.6000000000004</v>
      </c>
      <c r="J15" s="12">
        <v>2586.21</v>
      </c>
      <c r="L15" s="18"/>
      <c r="M15" s="36" t="s">
        <v>30</v>
      </c>
      <c r="N15">
        <v>-6.353976348089013</v>
      </c>
      <c r="O15">
        <v>-13.269693508731194</v>
      </c>
    </row>
    <row r="16" spans="1:15">
      <c r="A16" s="16" t="s">
        <v>82</v>
      </c>
      <c r="B16" s="12">
        <v>-39.969343126548587</v>
      </c>
      <c r="C16" s="12">
        <v>2.6248185339550654</v>
      </c>
      <c r="D16" s="14" t="s">
        <v>33</v>
      </c>
      <c r="E16" s="19">
        <v>44.958510439192324</v>
      </c>
      <c r="F16" s="14">
        <v>4763.4799999999996</v>
      </c>
      <c r="G16" s="14">
        <v>3068.01</v>
      </c>
      <c r="H16" s="19">
        <v>73.419802218351592</v>
      </c>
      <c r="I16" s="14">
        <v>5009.99</v>
      </c>
      <c r="J16" s="12">
        <v>2989.54</v>
      </c>
      <c r="L16" s="18"/>
      <c r="M16" s="36" t="s">
        <v>32</v>
      </c>
      <c r="N16">
        <v>-27.45502180883777</v>
      </c>
      <c r="O16">
        <v>-39.969343126548587</v>
      </c>
    </row>
    <row r="17" spans="1:15">
      <c r="A17" s="16" t="s">
        <v>86</v>
      </c>
      <c r="B17" s="12">
        <v>8.6564142307003227</v>
      </c>
      <c r="C17" s="12">
        <v>11.245449472537397</v>
      </c>
      <c r="D17" s="14" t="s">
        <v>41</v>
      </c>
      <c r="E17" s="19">
        <v>34.218511569548681</v>
      </c>
      <c r="F17" s="14">
        <v>5825.61</v>
      </c>
      <c r="G17" s="14">
        <v>4186.5</v>
      </c>
      <c r="H17" s="19">
        <v>32.051579718799999</v>
      </c>
      <c r="I17" s="14">
        <v>5132.05</v>
      </c>
      <c r="J17" s="12">
        <v>3763.3</v>
      </c>
      <c r="L17" s="18"/>
      <c r="M17" s="36" t="s">
        <v>40</v>
      </c>
      <c r="N17">
        <v>2.4550472005586066</v>
      </c>
      <c r="O17">
        <v>8.6564142307003227</v>
      </c>
    </row>
    <row r="18" spans="1:15">
      <c r="A18" s="16" t="s">
        <v>84</v>
      </c>
      <c r="B18" s="12">
        <v>-19.987346437828911</v>
      </c>
      <c r="C18" s="12">
        <v>10.37194622212146</v>
      </c>
      <c r="D18" s="14" t="s">
        <v>37</v>
      </c>
      <c r="E18" s="19">
        <v>50.054313882637047</v>
      </c>
      <c r="F18" s="14">
        <v>5458.94</v>
      </c>
      <c r="G18" s="14">
        <v>3797.7</v>
      </c>
      <c r="H18" s="19">
        <v>63.465668463645422</v>
      </c>
      <c r="I18" s="14">
        <v>5475.22</v>
      </c>
      <c r="J18" s="13">
        <v>3440.82</v>
      </c>
      <c r="L18" s="18"/>
      <c r="M18" s="36" t="s">
        <v>36</v>
      </c>
      <c r="N18">
        <v>-11.185317912447275</v>
      </c>
      <c r="O18">
        <v>-19.987346437828911</v>
      </c>
    </row>
    <row r="19" spans="1:15">
      <c r="A19" s="16" t="s">
        <v>85</v>
      </c>
      <c r="B19" s="12">
        <v>-33.754386138783346</v>
      </c>
      <c r="C19" s="12">
        <v>0.73039860335323781</v>
      </c>
      <c r="D19" s="14" t="s">
        <v>39</v>
      </c>
      <c r="E19" s="19">
        <v>37.911175699307741</v>
      </c>
      <c r="F19" s="14">
        <v>3774.29</v>
      </c>
      <c r="G19" s="14">
        <v>2198.31</v>
      </c>
      <c r="H19" s="19">
        <v>57.030148987724132</v>
      </c>
      <c r="I19" s="14">
        <v>3775.26</v>
      </c>
      <c r="J19" s="12">
        <v>2182.37</v>
      </c>
      <c r="L19" s="18"/>
      <c r="M19" s="36" t="s">
        <v>38</v>
      </c>
      <c r="N19">
        <v>-18.505409946318572</v>
      </c>
      <c r="O19">
        <v>-33.754386138783346</v>
      </c>
    </row>
    <row r="20" spans="1:15">
      <c r="A20" s="16" t="s">
        <v>87</v>
      </c>
      <c r="B20" s="12">
        <v>-11.160110248842416</v>
      </c>
      <c r="C20" s="12">
        <v>8.9274256260331253</v>
      </c>
      <c r="D20" s="14" t="s">
        <v>43</v>
      </c>
      <c r="E20" s="19">
        <v>20.796616893488086</v>
      </c>
      <c r="F20" s="14">
        <v>3578.39</v>
      </c>
      <c r="G20" s="14">
        <v>2563.4</v>
      </c>
      <c r="H20" s="19">
        <v>23.792580607606514</v>
      </c>
      <c r="I20" s="14">
        <v>3412.42</v>
      </c>
      <c r="J20" s="12">
        <v>2353.31</v>
      </c>
      <c r="L20" s="18"/>
      <c r="M20" s="36" t="s">
        <v>42</v>
      </c>
      <c r="N20">
        <v>-2.3100346378918992</v>
      </c>
      <c r="O20">
        <v>-11.160110248842416</v>
      </c>
    </row>
    <row r="21" spans="1:15">
      <c r="A21" s="16" t="s">
        <v>83</v>
      </c>
      <c r="B21" s="12">
        <v>5.0508988393068286</v>
      </c>
      <c r="C21" s="12">
        <v>28.899716005315135</v>
      </c>
      <c r="D21" s="14" t="s">
        <v>35</v>
      </c>
      <c r="E21" s="19">
        <v>23.558404117466363</v>
      </c>
      <c r="F21" s="14">
        <v>6984.73</v>
      </c>
      <c r="G21" s="14">
        <v>3957.84</v>
      </c>
      <c r="H21" s="19">
        <v>22.700133116628844</v>
      </c>
      <c r="I21" s="14">
        <v>6253.09</v>
      </c>
      <c r="J21" s="12">
        <v>3070.48</v>
      </c>
      <c r="L21" s="18"/>
      <c r="M21" s="36" t="s">
        <v>34</v>
      </c>
      <c r="N21">
        <v>0.96483248553749945</v>
      </c>
      <c r="O21">
        <v>5.0508988393068286</v>
      </c>
    </row>
    <row r="22" spans="1:15">
      <c r="A22" s="16" t="s">
        <v>88</v>
      </c>
      <c r="B22" s="12">
        <v>-6.4731578826205478</v>
      </c>
      <c r="C22" s="12">
        <v>1.4760641860215893</v>
      </c>
      <c r="D22" s="14" t="s">
        <v>45</v>
      </c>
      <c r="E22" s="19">
        <v>3.7048392097787901</v>
      </c>
      <c r="F22" s="14">
        <v>693.89</v>
      </c>
      <c r="G22" s="14">
        <v>378.8</v>
      </c>
      <c r="H22" s="19">
        <v>4.0777579463742786</v>
      </c>
      <c r="I22" s="14">
        <v>755.79</v>
      </c>
      <c r="J22" s="13">
        <v>373.29</v>
      </c>
      <c r="L22" s="18"/>
      <c r="M22" s="36" t="s">
        <v>44</v>
      </c>
      <c r="N22">
        <v>-0.21038487471492306</v>
      </c>
      <c r="O22">
        <v>-6.4731578826205478</v>
      </c>
    </row>
    <row r="23" spans="1:15">
      <c r="A23" s="16" t="s">
        <v>89</v>
      </c>
      <c r="B23" s="12">
        <v>-1.1867511328897018</v>
      </c>
      <c r="C23" s="12">
        <v>12.24529212940609</v>
      </c>
      <c r="D23" s="14" t="s">
        <v>47</v>
      </c>
      <c r="E23" s="19">
        <v>1.5875475900252078</v>
      </c>
      <c r="F23" s="14">
        <v>304.89999999999998</v>
      </c>
      <c r="G23" s="14">
        <v>116.23</v>
      </c>
      <c r="H23" s="19">
        <v>1.643633479723327</v>
      </c>
      <c r="I23" s="14">
        <v>282.68</v>
      </c>
      <c r="J23" s="12">
        <v>103.55</v>
      </c>
      <c r="L23" s="18"/>
      <c r="M23" s="36" t="s">
        <v>46</v>
      </c>
      <c r="N23">
        <v>-1.7357710833151963E-2</v>
      </c>
      <c r="O23">
        <v>-1.1867511328897018</v>
      </c>
    </row>
    <row r="24" spans="1:15">
      <c r="A24" s="16" t="s">
        <v>94</v>
      </c>
      <c r="B24" s="12">
        <v>-21.418962654272537</v>
      </c>
      <c r="C24" s="12">
        <v>7.7246812107695986</v>
      </c>
      <c r="D24" s="14" t="s">
        <v>57</v>
      </c>
      <c r="E24" s="19">
        <v>33.370951281191928</v>
      </c>
      <c r="F24" s="14">
        <v>6403.97</v>
      </c>
      <c r="G24" s="14">
        <v>3593.76</v>
      </c>
      <c r="H24" s="19">
        <v>42.593194703396861</v>
      </c>
      <c r="I24" s="14">
        <v>6269.93</v>
      </c>
      <c r="J24" s="12">
        <v>3336.06</v>
      </c>
      <c r="L24" s="18"/>
      <c r="M24" s="36" t="s">
        <v>56</v>
      </c>
      <c r="N24">
        <v>-7.968815772440216</v>
      </c>
      <c r="O24">
        <v>-21.418962654272537</v>
      </c>
    </row>
    <row r="25" spans="1:15">
      <c r="A25" s="16" t="s">
        <v>91</v>
      </c>
      <c r="B25" s="12">
        <v>-5.9193554767627585</v>
      </c>
      <c r="C25" s="12">
        <v>15.805252035450422</v>
      </c>
      <c r="D25" s="14" t="s">
        <v>51</v>
      </c>
      <c r="E25" s="19">
        <v>49.924356130133489</v>
      </c>
      <c r="F25" s="14">
        <v>8387.9</v>
      </c>
      <c r="G25" s="14">
        <v>5655.28</v>
      </c>
      <c r="H25" s="19">
        <v>54.996708211331125</v>
      </c>
      <c r="I25" s="15">
        <v>8007.58</v>
      </c>
      <c r="J25" s="12">
        <v>4883.4399999999996</v>
      </c>
      <c r="L25" s="18"/>
      <c r="M25" s="36" t="s">
        <v>50</v>
      </c>
      <c r="N25">
        <v>-2.7898518582855374</v>
      </c>
      <c r="O25">
        <v>-5.9193554767627585</v>
      </c>
    </row>
    <row r="26" spans="1:15">
      <c r="A26" s="16" t="s">
        <v>92</v>
      </c>
      <c r="B26" s="12">
        <v>-30.539612080888904</v>
      </c>
      <c r="C26" s="12">
        <v>-20.823940924990289</v>
      </c>
      <c r="D26" s="14" t="s">
        <v>53</v>
      </c>
      <c r="E26" s="19">
        <v>1.6271182138652531</v>
      </c>
      <c r="F26" s="14">
        <v>127.17</v>
      </c>
      <c r="G26" s="14">
        <v>101.86</v>
      </c>
      <c r="H26" s="19">
        <v>2.3934615189759056</v>
      </c>
      <c r="I26" s="14">
        <v>190.5</v>
      </c>
      <c r="J26" s="12">
        <v>128.65</v>
      </c>
      <c r="L26" s="18"/>
      <c r="M26" s="36" t="s">
        <v>52</v>
      </c>
      <c r="N26">
        <v>-0.64916605696490759</v>
      </c>
      <c r="O26">
        <v>-30.539612080888904</v>
      </c>
    </row>
    <row r="27" spans="1:15">
      <c r="A27" s="16" t="s">
        <v>90</v>
      </c>
      <c r="B27" s="12">
        <v>-5.2464035044651594</v>
      </c>
      <c r="C27" s="12">
        <v>9.3436867539548238</v>
      </c>
      <c r="D27" s="14" t="s">
        <v>49</v>
      </c>
      <c r="E27" s="19">
        <v>12.367138769613588</v>
      </c>
      <c r="F27" s="14">
        <v>3022.97</v>
      </c>
      <c r="G27" s="14">
        <v>1323.66</v>
      </c>
      <c r="H27" s="19">
        <v>13.098073555534492</v>
      </c>
      <c r="I27" s="14">
        <v>3086.09</v>
      </c>
      <c r="J27" s="12">
        <v>1210.55</v>
      </c>
      <c r="L27" s="18"/>
      <c r="M27" s="36" t="s">
        <v>48</v>
      </c>
      <c r="N27">
        <v>-0.49000208502024023</v>
      </c>
      <c r="O27">
        <v>-5.2464035044651594</v>
      </c>
    </row>
    <row r="28" spans="1:15">
      <c r="A28" s="16" t="s">
        <v>93</v>
      </c>
      <c r="B28" s="12">
        <v>-0.67770060168819746</v>
      </c>
      <c r="C28" s="12">
        <v>8.5226980712329521</v>
      </c>
      <c r="D28" s="14" t="s">
        <v>55</v>
      </c>
      <c r="E28" s="19">
        <v>8.5284683512363202</v>
      </c>
      <c r="F28" s="14">
        <v>3160.96</v>
      </c>
      <c r="G28" s="14">
        <v>1478.09</v>
      </c>
      <c r="H28" s="19">
        <v>9.11514717438234</v>
      </c>
      <c r="I28" s="14">
        <v>3245.2</v>
      </c>
      <c r="J28" s="12">
        <v>1362.01</v>
      </c>
      <c r="L28" s="18"/>
      <c r="M28" s="36" t="s">
        <v>54</v>
      </c>
      <c r="N28">
        <v>-4.8368218422907283E-2</v>
      </c>
      <c r="O28">
        <v>-0.67770060168819746</v>
      </c>
    </row>
    <row r="29" spans="1:15">
      <c r="A29" s="16" t="s">
        <v>95</v>
      </c>
      <c r="B29" s="12">
        <v>-29.310824267814095</v>
      </c>
      <c r="C29" s="12">
        <v>44.121956717763751</v>
      </c>
      <c r="D29" s="14" t="s">
        <v>59</v>
      </c>
      <c r="E29" s="19">
        <v>1.3807077502937468</v>
      </c>
      <c r="F29" s="14">
        <v>390.03</v>
      </c>
      <c r="G29" s="14">
        <v>255.73</v>
      </c>
      <c r="H29" s="19">
        <v>2.1158812976732269</v>
      </c>
      <c r="I29" s="14">
        <v>333.97</v>
      </c>
      <c r="J29" s="12">
        <v>177.44</v>
      </c>
      <c r="L29" s="18"/>
      <c r="M29" s="36" t="s">
        <v>58</v>
      </c>
      <c r="N29">
        <v>-0.47905505293055084</v>
      </c>
      <c r="O29">
        <v>-29.310824267814095</v>
      </c>
    </row>
    <row r="30" spans="1:15">
      <c r="A30" s="16" t="s">
        <v>96</v>
      </c>
      <c r="B30" s="12">
        <v>16.173490579800699</v>
      </c>
      <c r="C30" s="12">
        <v>22.711138133703919</v>
      </c>
      <c r="D30" s="14" t="s">
        <v>63</v>
      </c>
      <c r="E30" s="19">
        <v>16.357622467507575</v>
      </c>
      <c r="F30" s="14">
        <v>2824.76</v>
      </c>
      <c r="G30" s="14">
        <v>2119.16</v>
      </c>
      <c r="H30" s="19">
        <v>13.736661279180067</v>
      </c>
      <c r="I30" s="14">
        <v>2256.89</v>
      </c>
      <c r="J30" s="13">
        <v>1726.95</v>
      </c>
      <c r="L30" s="18"/>
      <c r="M30" s="35" t="s">
        <v>125</v>
      </c>
      <c r="N30">
        <v>-132.3215251120979</v>
      </c>
      <c r="O30">
        <v>-16.173490579800728</v>
      </c>
    </row>
    <row r="31" spans="1:15">
      <c r="A31" s="16" t="s">
        <v>60</v>
      </c>
      <c r="B31" s="12">
        <v>18.396878318162912</v>
      </c>
      <c r="C31" s="12">
        <v>13.252886715905554</v>
      </c>
      <c r="D31" s="14" t="s">
        <v>61</v>
      </c>
      <c r="E31" s="19">
        <v>2.8040034286631066</v>
      </c>
      <c r="F31" s="14">
        <v>194.58</v>
      </c>
      <c r="G31" s="14">
        <v>108.87</v>
      </c>
      <c r="H31" s="19">
        <v>1.4575334418050874</v>
      </c>
      <c r="I31" s="14">
        <v>175.87</v>
      </c>
      <c r="J31" s="12">
        <v>96.13</v>
      </c>
      <c r="L31" s="18"/>
      <c r="M31" s="36" t="s">
        <v>62</v>
      </c>
      <c r="N31">
        <v>2.0333486017203466</v>
      </c>
      <c r="O31">
        <v>18.396878318162912</v>
      </c>
    </row>
    <row r="32" spans="1:15">
      <c r="A32" s="16" t="s">
        <v>64</v>
      </c>
      <c r="B32" s="12">
        <v>99.306386647894684</v>
      </c>
      <c r="C32" s="12">
        <v>12.325664764224213</v>
      </c>
      <c r="D32" s="14" t="s">
        <v>65</v>
      </c>
      <c r="E32" s="19">
        <v>14.666241271003578</v>
      </c>
      <c r="F32" s="14">
        <v>4243.22</v>
      </c>
      <c r="G32" s="14">
        <v>1974</v>
      </c>
      <c r="H32" s="19">
        <v>20.485322003885951</v>
      </c>
      <c r="I32" s="14">
        <v>4276.79</v>
      </c>
      <c r="J32" s="13">
        <v>1757.39</v>
      </c>
      <c r="L32" s="18"/>
      <c r="M32" s="36" t="s">
        <v>60</v>
      </c>
      <c r="N32">
        <v>1.3642480517204696</v>
      </c>
      <c r="O32">
        <v>99.306386647894684</v>
      </c>
    </row>
    <row r="33" spans="1:15">
      <c r="A33" s="16" t="s">
        <v>66</v>
      </c>
      <c r="B33" s="12">
        <v>-33.510005089560352</v>
      </c>
      <c r="C33" s="12">
        <v>6.2577972952742158</v>
      </c>
      <c r="D33" s="14" t="s">
        <v>67</v>
      </c>
      <c r="E33" s="19">
        <v>9.212759004577574</v>
      </c>
      <c r="F33" s="14">
        <v>1024.68</v>
      </c>
      <c r="G33" s="14">
        <v>638.79</v>
      </c>
      <c r="H33" s="19">
        <v>18.432354173037659</v>
      </c>
      <c r="I33" s="14">
        <v>1016.85</v>
      </c>
      <c r="J33" s="12">
        <v>601.16999999999996</v>
      </c>
      <c r="L33" s="18"/>
      <c r="M33" s="36" t="s">
        <v>64</v>
      </c>
      <c r="N33">
        <v>-5.5782482291754221</v>
      </c>
      <c r="O33">
        <v>-33.510005089560352</v>
      </c>
    </row>
    <row r="34" spans="1:15">
      <c r="L34" s="18"/>
      <c r="M34" s="36" t="s">
        <v>66</v>
      </c>
      <c r="N34">
        <v>-8.5366846249992854</v>
      </c>
      <c r="O34">
        <v>-52.404668327341227</v>
      </c>
    </row>
    <row r="35" spans="1:15">
      <c r="L35" s="18"/>
      <c r="M35" s="19"/>
      <c r="N35" s="19"/>
    </row>
    <row r="36" spans="1:15">
      <c r="L36" s="20"/>
      <c r="M36" s="19"/>
      <c r="N36" s="19"/>
    </row>
  </sheetData>
  <sortState xmlns:xlrd2="http://schemas.microsoft.com/office/spreadsheetml/2017/richdata2" ref="M3:O34">
    <sortCondition ref="M3:M34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53468-C935-EC43-93ED-52FE3BFE8F9F}">
  <dimension ref="A1:N37"/>
  <sheetViews>
    <sheetView tabSelected="1" workbookViewId="0">
      <selection activeCell="B14" sqref="B14"/>
    </sheetView>
  </sheetViews>
  <sheetFormatPr baseColWidth="10" defaultRowHeight="16"/>
  <cols>
    <col min="1" max="1" width="10.83203125" style="10"/>
    <col min="2" max="2" width="10.83203125" style="21"/>
    <col min="3" max="3" width="18.83203125" style="21" customWidth="1"/>
    <col min="4" max="4" width="10.83203125" style="23"/>
    <col min="5" max="5" width="28.5" style="10" customWidth="1"/>
    <col min="6" max="6" width="10.83203125" style="23"/>
    <col min="7" max="7" width="19.1640625" style="23" bestFit="1" customWidth="1"/>
    <col min="8" max="8" width="19.1640625" style="23" customWidth="1"/>
    <col min="9" max="9" width="26" style="23" bestFit="1" customWidth="1"/>
    <col min="10" max="14" width="10.83203125" style="24"/>
    <col min="15" max="15" width="14.1640625" style="24" bestFit="1" customWidth="1"/>
    <col min="16" max="16384" width="10.83203125" style="24"/>
  </cols>
  <sheetData>
    <row r="1" spans="1:14">
      <c r="A1" s="10" t="s">
        <v>0</v>
      </c>
      <c r="B1" s="12" t="s">
        <v>127</v>
      </c>
      <c r="C1" s="21" t="s">
        <v>119</v>
      </c>
      <c r="D1" s="10" t="s">
        <v>120</v>
      </c>
      <c r="E1" s="10" t="s">
        <v>112</v>
      </c>
      <c r="F1" s="22" t="s">
        <v>114</v>
      </c>
      <c r="G1" s="22" t="s">
        <v>116</v>
      </c>
      <c r="H1" s="22" t="s">
        <v>121</v>
      </c>
      <c r="I1" s="23" t="s">
        <v>113</v>
      </c>
      <c r="J1" s="22" t="s">
        <v>117</v>
      </c>
      <c r="L1" s="25"/>
      <c r="M1" s="25"/>
      <c r="N1" s="25"/>
    </row>
    <row r="2" spans="1:14">
      <c r="A2" s="10" t="s">
        <v>106</v>
      </c>
      <c r="B2" s="21" t="s">
        <v>101</v>
      </c>
      <c r="C2" s="21" t="s">
        <v>101</v>
      </c>
      <c r="D2" s="10" t="s">
        <v>106</v>
      </c>
      <c r="E2" s="10" t="s">
        <v>104</v>
      </c>
      <c r="F2" s="22" t="s">
        <v>115</v>
      </c>
      <c r="G2" s="22" t="s">
        <v>6</v>
      </c>
      <c r="H2" s="10" t="s">
        <v>104</v>
      </c>
      <c r="I2" s="22" t="s">
        <v>115</v>
      </c>
      <c r="J2" s="22" t="s">
        <v>6</v>
      </c>
      <c r="L2" s="26"/>
      <c r="M2" s="27"/>
      <c r="N2" s="27"/>
    </row>
    <row r="3" spans="1:14">
      <c r="A3" s="10" t="s">
        <v>68</v>
      </c>
      <c r="B3" s="12">
        <v>-10.908241681538982</v>
      </c>
      <c r="C3" s="12">
        <v>4.1152321791566804</v>
      </c>
      <c r="D3" s="22" t="s">
        <v>8</v>
      </c>
      <c r="E3" s="19">
        <v>58.942717461710295</v>
      </c>
      <c r="F3" s="22">
        <v>7334.46</v>
      </c>
      <c r="G3" s="22">
        <v>4150.75</v>
      </c>
      <c r="H3" s="19">
        <v>67.589689804199438</v>
      </c>
      <c r="I3" s="22">
        <v>7044.56</v>
      </c>
      <c r="J3" s="21">
        <v>3540.86</v>
      </c>
      <c r="L3"/>
      <c r="M3"/>
      <c r="N3" s="27"/>
    </row>
    <row r="4" spans="1:14">
      <c r="A4" s="10" t="s">
        <v>69</v>
      </c>
      <c r="B4" s="12">
        <v>-39.054435983205316</v>
      </c>
      <c r="C4" s="12">
        <v>-43.697690516644599</v>
      </c>
      <c r="D4" s="22" t="s">
        <v>9</v>
      </c>
      <c r="E4" s="19">
        <v>0.72296990075272094</v>
      </c>
      <c r="F4" s="22">
        <v>89.47</v>
      </c>
      <c r="G4" s="22">
        <v>47.78</v>
      </c>
      <c r="H4" s="19">
        <v>1.322169033698475</v>
      </c>
      <c r="I4" s="22">
        <v>158.91</v>
      </c>
      <c r="J4" s="21">
        <v>96.13</v>
      </c>
      <c r="L4"/>
      <c r="M4"/>
      <c r="N4" s="27"/>
    </row>
    <row r="5" spans="1:14">
      <c r="A5" s="10" t="s">
        <v>70</v>
      </c>
      <c r="B5" s="12">
        <v>-24.199228873172139</v>
      </c>
      <c r="C5" s="12">
        <v>-1.6276190244968201</v>
      </c>
      <c r="D5" s="22" t="s">
        <v>11</v>
      </c>
      <c r="E5" s="19">
        <v>10.723820296945991</v>
      </c>
      <c r="F5" s="22">
        <v>2025.93</v>
      </c>
      <c r="G5" s="22">
        <v>1095.9000000000001</v>
      </c>
      <c r="H5" s="19">
        <v>14.166237359079625</v>
      </c>
      <c r="I5" s="22">
        <v>2059.4499999999998</v>
      </c>
      <c r="J5" s="21">
        <v>1055.1500000000001</v>
      </c>
      <c r="L5"/>
      <c r="M5"/>
      <c r="N5" s="27"/>
    </row>
    <row r="6" spans="1:14">
      <c r="A6" s="10" t="s">
        <v>73</v>
      </c>
      <c r="B6" s="12">
        <v>-53.697913572211128</v>
      </c>
      <c r="C6" s="12">
        <v>-10.873043625690096</v>
      </c>
      <c r="D6" s="22" t="s">
        <v>13</v>
      </c>
      <c r="E6" s="19">
        <v>7.6487337451780926</v>
      </c>
      <c r="F6" s="22">
        <v>841.1</v>
      </c>
      <c r="G6" s="22">
        <v>510.97</v>
      </c>
      <c r="H6" s="19">
        <v>15.024158698883435</v>
      </c>
      <c r="I6" s="22">
        <v>943.71</v>
      </c>
      <c r="J6" s="21">
        <v>534.67999999999995</v>
      </c>
      <c r="L6"/>
      <c r="M6"/>
      <c r="N6" s="27"/>
    </row>
    <row r="7" spans="1:14">
      <c r="A7" s="10" t="s">
        <v>74</v>
      </c>
      <c r="B7" s="12">
        <v>-32.765416216801171</v>
      </c>
      <c r="C7" s="12">
        <v>-1.6328997758678399</v>
      </c>
      <c r="D7" s="22" t="s">
        <v>17</v>
      </c>
      <c r="E7" s="19">
        <v>25.221590456396985</v>
      </c>
      <c r="F7" s="22">
        <v>2229.5100000000002</v>
      </c>
      <c r="G7" s="22">
        <v>1285.19</v>
      </c>
      <c r="H7" s="19">
        <v>36.777165732048587</v>
      </c>
      <c r="I7" s="22">
        <v>2266.52</v>
      </c>
      <c r="J7" s="21">
        <v>1202.48</v>
      </c>
      <c r="L7"/>
      <c r="M7"/>
      <c r="N7" s="27"/>
    </row>
    <row r="8" spans="1:14">
      <c r="A8" s="10" t="s">
        <v>71</v>
      </c>
      <c r="B8" s="12">
        <v>24.493908606401803</v>
      </c>
      <c r="C8" s="12">
        <v>-1.4519043066375386</v>
      </c>
      <c r="D8" s="22" t="s">
        <v>15</v>
      </c>
      <c r="E8" s="19">
        <v>10.127456556009038</v>
      </c>
      <c r="F8" s="22">
        <v>2710.93</v>
      </c>
      <c r="G8" s="22">
        <v>1272.9000000000001</v>
      </c>
      <c r="H8" s="19">
        <v>8.7901664995419626</v>
      </c>
      <c r="I8" s="22">
        <v>2750.87</v>
      </c>
      <c r="J8" s="21">
        <v>1117.47</v>
      </c>
      <c r="L8"/>
      <c r="M8"/>
      <c r="N8" s="27"/>
    </row>
    <row r="9" spans="1:14">
      <c r="A9" s="10" t="s">
        <v>75</v>
      </c>
      <c r="B9" s="12">
        <v>-33.508814584473754</v>
      </c>
      <c r="C9" s="12">
        <v>-4.6874211954420399</v>
      </c>
      <c r="D9" s="22" t="s">
        <v>19</v>
      </c>
      <c r="E9" s="19">
        <v>25.123575264253095</v>
      </c>
      <c r="F9" s="22">
        <v>2834.72</v>
      </c>
      <c r="G9" s="22">
        <v>1395.36</v>
      </c>
      <c r="H9" s="19">
        <v>36.465396659791907</v>
      </c>
      <c r="I9" s="22">
        <v>2974.13</v>
      </c>
      <c r="J9" s="21">
        <v>1450.71</v>
      </c>
      <c r="L9"/>
      <c r="M9"/>
      <c r="N9" s="27"/>
    </row>
    <row r="10" spans="1:14">
      <c r="A10" s="10" t="s">
        <v>76</v>
      </c>
      <c r="B10" s="12">
        <v>-22.059299812443346</v>
      </c>
      <c r="C10" s="12">
        <v>-10.257986450373032</v>
      </c>
      <c r="D10" s="22" t="s">
        <v>21</v>
      </c>
      <c r="E10" s="19">
        <v>10.211564386096354</v>
      </c>
      <c r="F10" s="22">
        <v>2773.8</v>
      </c>
      <c r="G10" s="22">
        <v>1119.68</v>
      </c>
      <c r="H10" s="19">
        <v>12.941308712276129</v>
      </c>
      <c r="I10" s="22">
        <v>3090.86</v>
      </c>
      <c r="J10" s="21">
        <v>1075.75</v>
      </c>
      <c r="L10"/>
      <c r="M10"/>
      <c r="N10" s="27"/>
    </row>
    <row r="11" spans="1:14">
      <c r="A11" s="10" t="s">
        <v>77</v>
      </c>
      <c r="B11" s="12">
        <v>-45.013229554106914</v>
      </c>
      <c r="C11" s="12">
        <v>-25.140230388267177</v>
      </c>
      <c r="D11" s="22" t="s">
        <v>23</v>
      </c>
      <c r="E11" s="19">
        <v>3.6373529412489014</v>
      </c>
      <c r="F11" s="22">
        <v>273.58999999999997</v>
      </c>
      <c r="G11" s="22">
        <v>147.02000000000001</v>
      </c>
      <c r="H11" s="19">
        <v>6.1539249676148096</v>
      </c>
      <c r="I11" s="22">
        <v>365.47</v>
      </c>
      <c r="J11" s="21">
        <v>168.55</v>
      </c>
      <c r="L11"/>
      <c r="M11"/>
      <c r="N11" s="27"/>
    </row>
    <row r="12" spans="1:14">
      <c r="A12" s="10" t="s">
        <v>78</v>
      </c>
      <c r="B12" s="12">
        <v>-9.866823968841091</v>
      </c>
      <c r="C12" s="12">
        <v>-2.3024463776538764</v>
      </c>
      <c r="D12" s="22" t="s">
        <v>25</v>
      </c>
      <c r="E12" s="19">
        <v>39.568015713843018</v>
      </c>
      <c r="F12" s="22">
        <v>6455.19</v>
      </c>
      <c r="G12" s="22">
        <v>3809.92</v>
      </c>
      <c r="H12" s="19">
        <v>45.027186769139277</v>
      </c>
      <c r="I12" s="22">
        <v>6607.32</v>
      </c>
      <c r="J12" s="28">
        <v>3584.87</v>
      </c>
      <c r="L12"/>
      <c r="M12"/>
      <c r="N12" s="27"/>
    </row>
    <row r="13" spans="1:14">
      <c r="A13" s="10" t="s">
        <v>80</v>
      </c>
      <c r="B13" s="12">
        <v>-10.273768520162353</v>
      </c>
      <c r="C13" s="12">
        <v>0.82131876534831805</v>
      </c>
      <c r="D13" s="22" t="s">
        <v>29</v>
      </c>
      <c r="E13" s="19">
        <v>70.717559493479058</v>
      </c>
      <c r="F13" s="22">
        <v>10785.29</v>
      </c>
      <c r="G13" s="22">
        <v>6624.27</v>
      </c>
      <c r="H13" s="19">
        <v>80.226043691123976</v>
      </c>
      <c r="I13" s="23">
        <v>10697.43</v>
      </c>
      <c r="J13" s="21">
        <v>6023.8</v>
      </c>
      <c r="L13"/>
      <c r="M13"/>
      <c r="N13" s="27"/>
    </row>
    <row r="14" spans="1:14">
      <c r="A14" s="10" t="s">
        <v>79</v>
      </c>
      <c r="B14" s="12">
        <v>7.0020943283850281</v>
      </c>
      <c r="C14" s="12">
        <v>8.6002345391276727</v>
      </c>
      <c r="D14" s="22" t="s">
        <v>27</v>
      </c>
      <c r="E14" s="19">
        <v>94.394767008528305</v>
      </c>
      <c r="F14" s="22">
        <v>14743.09</v>
      </c>
      <c r="G14" s="22">
        <v>7788.22</v>
      </c>
      <c r="H14" s="19">
        <v>88.598402348027378</v>
      </c>
      <c r="I14" s="22">
        <v>13575.56</v>
      </c>
      <c r="J14" s="21">
        <v>7055.11</v>
      </c>
      <c r="L14"/>
      <c r="M14"/>
      <c r="N14" s="27"/>
    </row>
    <row r="15" spans="1:14">
      <c r="A15" s="10" t="s">
        <v>81</v>
      </c>
      <c r="B15" s="12">
        <v>-13.269693508731194</v>
      </c>
      <c r="C15" s="12">
        <v>6.5745143322918045</v>
      </c>
      <c r="D15" s="22" t="s">
        <v>31</v>
      </c>
      <c r="E15" s="19">
        <v>46.163253907706853</v>
      </c>
      <c r="F15" s="22">
        <v>4706.97</v>
      </c>
      <c r="G15" s="22">
        <v>2777.04</v>
      </c>
      <c r="H15" s="19">
        <v>54.841944976184379</v>
      </c>
      <c r="I15" s="22">
        <v>4416.6000000000004</v>
      </c>
      <c r="J15" s="21">
        <v>2586.21</v>
      </c>
      <c r="L15"/>
      <c r="M15"/>
      <c r="N15" s="27"/>
    </row>
    <row r="16" spans="1:14">
      <c r="A16" s="10" t="s">
        <v>82</v>
      </c>
      <c r="B16" s="12">
        <v>-39.969343126548587</v>
      </c>
      <c r="C16" s="12">
        <v>-4.9203691025331429</v>
      </c>
      <c r="D16" s="22" t="s">
        <v>33</v>
      </c>
      <c r="E16" s="19">
        <v>44.958510439192324</v>
      </c>
      <c r="F16" s="22">
        <v>4763.4799999999996</v>
      </c>
      <c r="G16" s="22">
        <v>3068.01</v>
      </c>
      <c r="H16" s="19">
        <v>73.419802218351592</v>
      </c>
      <c r="I16" s="22">
        <v>5009.99</v>
      </c>
      <c r="J16" s="21">
        <v>2989.54</v>
      </c>
      <c r="L16"/>
      <c r="M16"/>
      <c r="N16" s="27"/>
    </row>
    <row r="17" spans="1:14">
      <c r="A17" s="10" t="s">
        <v>86</v>
      </c>
      <c r="B17" s="12">
        <v>8.6564142307003227</v>
      </c>
      <c r="C17" s="12">
        <v>13.514287662824787</v>
      </c>
      <c r="D17" s="22" t="s">
        <v>41</v>
      </c>
      <c r="E17" s="19">
        <v>34.218511569548681</v>
      </c>
      <c r="F17" s="22">
        <v>5825.61</v>
      </c>
      <c r="G17" s="22">
        <v>4186.5</v>
      </c>
      <c r="H17" s="19">
        <v>32.051579718799999</v>
      </c>
      <c r="I17" s="22">
        <v>5132.05</v>
      </c>
      <c r="J17" s="21">
        <v>3763.3</v>
      </c>
      <c r="L17"/>
      <c r="M17"/>
      <c r="N17" s="27"/>
    </row>
    <row r="18" spans="1:14">
      <c r="A18" s="10" t="s">
        <v>84</v>
      </c>
      <c r="B18" s="12">
        <v>-19.987346437828911</v>
      </c>
      <c r="C18" s="12">
        <v>-0.29733965027890485</v>
      </c>
      <c r="D18" s="22" t="s">
        <v>37</v>
      </c>
      <c r="E18" s="19">
        <v>50.054313882637047</v>
      </c>
      <c r="F18" s="22">
        <v>5458.94</v>
      </c>
      <c r="G18" s="22">
        <v>3797.7</v>
      </c>
      <c r="H18" s="19">
        <v>63.465668463645422</v>
      </c>
      <c r="I18" s="22">
        <v>5475.22</v>
      </c>
      <c r="J18" s="28">
        <v>3440.82</v>
      </c>
      <c r="L18"/>
      <c r="M18"/>
      <c r="N18" s="27"/>
    </row>
    <row r="19" spans="1:14">
      <c r="A19" s="10" t="s">
        <v>85</v>
      </c>
      <c r="B19" s="12">
        <v>-33.754386138783346</v>
      </c>
      <c r="C19" s="12">
        <v>-2.5693594613357879E-2</v>
      </c>
      <c r="D19" s="22" t="s">
        <v>39</v>
      </c>
      <c r="E19" s="19">
        <v>37.911175699307741</v>
      </c>
      <c r="F19" s="22">
        <v>3774.29</v>
      </c>
      <c r="G19" s="22">
        <v>2198.31</v>
      </c>
      <c r="H19" s="19">
        <v>57.030148987724132</v>
      </c>
      <c r="I19" s="22">
        <v>3775.26</v>
      </c>
      <c r="J19" s="21">
        <v>2182.37</v>
      </c>
      <c r="L19"/>
      <c r="M19"/>
      <c r="N19" s="27"/>
    </row>
    <row r="20" spans="1:14">
      <c r="A20" s="10" t="s">
        <v>87</v>
      </c>
      <c r="B20" s="12">
        <v>-11.160110248842416</v>
      </c>
      <c r="C20" s="12">
        <v>4.8637037644838506</v>
      </c>
      <c r="D20" s="22" t="s">
        <v>43</v>
      </c>
      <c r="E20" s="19">
        <v>20.796616893488086</v>
      </c>
      <c r="F20" s="22">
        <v>3578.39</v>
      </c>
      <c r="G20" s="22">
        <v>2563.4</v>
      </c>
      <c r="H20" s="19">
        <v>23.792580607606514</v>
      </c>
      <c r="I20" s="22">
        <v>3412.42</v>
      </c>
      <c r="J20" s="21">
        <v>2353.31</v>
      </c>
      <c r="L20"/>
      <c r="M20"/>
      <c r="N20" s="27"/>
    </row>
    <row r="21" spans="1:14">
      <c r="A21" s="10" t="s">
        <v>83</v>
      </c>
      <c r="B21" s="12">
        <v>5.0508988393068286</v>
      </c>
      <c r="C21" s="12">
        <v>11.700455294902191</v>
      </c>
      <c r="D21" s="22" t="s">
        <v>35</v>
      </c>
      <c r="E21" s="19">
        <v>23.558404117466363</v>
      </c>
      <c r="F21" s="22">
        <v>6984.73</v>
      </c>
      <c r="G21" s="22">
        <v>3957.84</v>
      </c>
      <c r="H21" s="19">
        <v>22.700133116628844</v>
      </c>
      <c r="I21" s="22">
        <v>6253.09</v>
      </c>
      <c r="J21" s="21">
        <v>3070.48</v>
      </c>
      <c r="L21"/>
      <c r="M21"/>
      <c r="N21" s="27"/>
    </row>
    <row r="22" spans="1:14">
      <c r="A22" s="10" t="s">
        <v>88</v>
      </c>
      <c r="B22" s="12">
        <v>-6.4731578826205478</v>
      </c>
      <c r="C22" s="12">
        <v>-8.1901057171965732</v>
      </c>
      <c r="D22" s="22" t="s">
        <v>45</v>
      </c>
      <c r="E22" s="19">
        <v>3.7048392097787901</v>
      </c>
      <c r="F22" s="22">
        <v>693.89</v>
      </c>
      <c r="G22" s="22">
        <v>378.8</v>
      </c>
      <c r="H22" s="19">
        <v>4.0777579463742786</v>
      </c>
      <c r="I22" s="22">
        <v>755.79</v>
      </c>
      <c r="J22" s="28">
        <v>373.29</v>
      </c>
      <c r="L22"/>
      <c r="M22"/>
      <c r="N22" s="27"/>
    </row>
    <row r="23" spans="1:14">
      <c r="A23" s="10" t="s">
        <v>89</v>
      </c>
      <c r="B23" s="12">
        <v>-1.1867511328897018</v>
      </c>
      <c r="C23" s="12">
        <v>7.8604782793264372</v>
      </c>
      <c r="D23" s="22" t="s">
        <v>47</v>
      </c>
      <c r="E23" s="19">
        <v>1.5875475900252078</v>
      </c>
      <c r="F23" s="22">
        <v>304.89999999999998</v>
      </c>
      <c r="G23" s="22">
        <v>116.23</v>
      </c>
      <c r="H23" s="19">
        <v>1.643633479723327</v>
      </c>
      <c r="I23" s="22">
        <v>282.68</v>
      </c>
      <c r="J23" s="21">
        <v>103.55</v>
      </c>
      <c r="L23"/>
      <c r="M23"/>
      <c r="N23" s="27"/>
    </row>
    <row r="24" spans="1:14">
      <c r="A24" s="10" t="s">
        <v>94</v>
      </c>
      <c r="B24" s="12">
        <v>-21.418962654272537</v>
      </c>
      <c r="C24" s="12">
        <v>2.137822910303623</v>
      </c>
      <c r="D24" s="22" t="s">
        <v>57</v>
      </c>
      <c r="E24" s="19">
        <v>33.370951281191928</v>
      </c>
      <c r="F24" s="22">
        <v>6403.97</v>
      </c>
      <c r="G24" s="22">
        <v>3593.76</v>
      </c>
      <c r="H24" s="19">
        <v>42.593194703396861</v>
      </c>
      <c r="I24" s="22">
        <v>6269.93</v>
      </c>
      <c r="J24" s="21">
        <v>3336.06</v>
      </c>
      <c r="L24"/>
      <c r="M24"/>
      <c r="N24" s="27"/>
    </row>
    <row r="25" spans="1:14">
      <c r="A25" s="10" t="s">
        <v>91</v>
      </c>
      <c r="B25" s="12">
        <v>-5.9193554767627585</v>
      </c>
      <c r="C25" s="12">
        <v>4.7494998488931701</v>
      </c>
      <c r="D25" s="22" t="s">
        <v>51</v>
      </c>
      <c r="E25" s="19">
        <v>49.924356130133489</v>
      </c>
      <c r="F25" s="22">
        <v>8387.9</v>
      </c>
      <c r="G25" s="22">
        <v>5655.28</v>
      </c>
      <c r="H25" s="19">
        <v>54.996708211331125</v>
      </c>
      <c r="I25" s="23">
        <v>8007.58</v>
      </c>
      <c r="J25" s="21">
        <v>4883.4399999999996</v>
      </c>
      <c r="L25"/>
      <c r="M25"/>
      <c r="N25" s="27"/>
    </row>
    <row r="26" spans="1:14">
      <c r="A26" s="10" t="s">
        <v>92</v>
      </c>
      <c r="B26" s="12">
        <v>-30.539612080888904</v>
      </c>
      <c r="C26" s="12">
        <v>-33.244094488188978</v>
      </c>
      <c r="D26" s="22" t="s">
        <v>53</v>
      </c>
      <c r="E26" s="19">
        <v>1.6271182138652531</v>
      </c>
      <c r="F26" s="22">
        <v>127.17</v>
      </c>
      <c r="G26" s="22">
        <v>101.86</v>
      </c>
      <c r="H26" s="19">
        <v>2.3934615189759056</v>
      </c>
      <c r="I26" s="22">
        <v>190.5</v>
      </c>
      <c r="J26" s="21">
        <v>128.65</v>
      </c>
      <c r="L26"/>
      <c r="M26"/>
      <c r="N26" s="27"/>
    </row>
    <row r="27" spans="1:14">
      <c r="A27" s="10" t="s">
        <v>90</v>
      </c>
      <c r="B27" s="12">
        <v>-5.2464035044651594</v>
      </c>
      <c r="C27" s="12">
        <v>-2.0453065205486665</v>
      </c>
      <c r="D27" s="22" t="s">
        <v>49</v>
      </c>
      <c r="E27" s="19">
        <v>12.367138769613588</v>
      </c>
      <c r="F27" s="22">
        <v>3022.97</v>
      </c>
      <c r="G27" s="22">
        <v>1323.66</v>
      </c>
      <c r="H27" s="19">
        <v>13.098073555534492</v>
      </c>
      <c r="I27" s="22">
        <v>3086.09</v>
      </c>
      <c r="J27" s="21">
        <v>1210.55</v>
      </c>
      <c r="L27"/>
      <c r="M27"/>
      <c r="N27" s="27"/>
    </row>
    <row r="28" spans="1:14">
      <c r="A28" s="10" t="s">
        <v>93</v>
      </c>
      <c r="B28" s="12">
        <v>-0.67770060168819746</v>
      </c>
      <c r="C28" s="12">
        <v>-2.5958338469123565</v>
      </c>
      <c r="D28" s="22" t="s">
        <v>55</v>
      </c>
      <c r="E28" s="19">
        <v>8.5284683512363202</v>
      </c>
      <c r="F28" s="22">
        <v>3160.96</v>
      </c>
      <c r="G28" s="22">
        <v>1478.09</v>
      </c>
      <c r="H28" s="19">
        <v>9.11514717438234</v>
      </c>
      <c r="I28" s="22">
        <v>3245.2</v>
      </c>
      <c r="J28" s="21">
        <v>1362.01</v>
      </c>
      <c r="L28"/>
      <c r="M28"/>
      <c r="N28" s="27"/>
    </row>
    <row r="29" spans="1:14">
      <c r="A29" s="10" t="s">
        <v>95</v>
      </c>
      <c r="B29" s="12">
        <v>-29.310824267814095</v>
      </c>
      <c r="C29" s="12">
        <v>16.785938856783524</v>
      </c>
      <c r="D29" s="22" t="s">
        <v>59</v>
      </c>
      <c r="E29" s="19">
        <v>1.3807077502937468</v>
      </c>
      <c r="F29" s="22">
        <v>390.03</v>
      </c>
      <c r="G29" s="22">
        <v>255.73</v>
      </c>
      <c r="H29" s="19">
        <v>2.1158812976732269</v>
      </c>
      <c r="I29" s="22">
        <v>333.97</v>
      </c>
      <c r="J29" s="21">
        <v>177.44</v>
      </c>
      <c r="L29"/>
      <c r="M29"/>
      <c r="N29" s="27"/>
    </row>
    <row r="30" spans="1:14">
      <c r="A30" s="10" t="s">
        <v>96</v>
      </c>
      <c r="B30" s="12">
        <v>16.173490579800699</v>
      </c>
      <c r="C30" s="12">
        <v>25.1616162063725</v>
      </c>
      <c r="D30" s="22" t="s">
        <v>63</v>
      </c>
      <c r="E30" s="19">
        <v>16.357622467507575</v>
      </c>
      <c r="F30" s="22">
        <v>2824.76</v>
      </c>
      <c r="G30" s="22">
        <v>2119.16</v>
      </c>
      <c r="H30" s="19">
        <v>13.736661279180067</v>
      </c>
      <c r="I30" s="22">
        <v>2256.89</v>
      </c>
      <c r="J30" s="28">
        <v>1726.95</v>
      </c>
      <c r="L30"/>
      <c r="M30"/>
      <c r="N30" s="27"/>
    </row>
    <row r="31" spans="1:14">
      <c r="A31" s="10" t="s">
        <v>60</v>
      </c>
      <c r="B31" s="12">
        <v>18.396878318162912</v>
      </c>
      <c r="C31" s="12">
        <v>10.638539830556665</v>
      </c>
      <c r="D31" s="22" t="s">
        <v>61</v>
      </c>
      <c r="E31" s="19">
        <v>2.8040034286631066</v>
      </c>
      <c r="F31" s="22">
        <v>194.58</v>
      </c>
      <c r="G31" s="22">
        <v>108.87</v>
      </c>
      <c r="H31" s="19">
        <v>1.4575334418050874</v>
      </c>
      <c r="I31" s="22">
        <v>175.87</v>
      </c>
      <c r="J31" s="21">
        <v>96.13</v>
      </c>
      <c r="L31"/>
      <c r="M31"/>
      <c r="N31" s="27"/>
    </row>
    <row r="32" spans="1:14">
      <c r="A32" s="10" t="s">
        <v>64</v>
      </c>
      <c r="B32" s="12">
        <v>99.306386647894684</v>
      </c>
      <c r="C32" s="12">
        <v>-0.78493449526396453</v>
      </c>
      <c r="D32" s="22" t="s">
        <v>65</v>
      </c>
      <c r="E32" s="19">
        <v>14.666241271003578</v>
      </c>
      <c r="F32" s="22">
        <v>4243.22</v>
      </c>
      <c r="G32" s="22">
        <v>1974</v>
      </c>
      <c r="H32" s="19">
        <v>20.485322003885951</v>
      </c>
      <c r="I32" s="22">
        <v>4276.79</v>
      </c>
      <c r="J32" s="28">
        <v>1757.39</v>
      </c>
      <c r="L32"/>
      <c r="M32"/>
      <c r="N32" s="27"/>
    </row>
    <row r="33" spans="1:14">
      <c r="A33" s="10" t="s">
        <v>66</v>
      </c>
      <c r="B33" s="12">
        <v>-33.510005089560352</v>
      </c>
      <c r="C33" s="12">
        <v>0.77002507744505488</v>
      </c>
      <c r="D33" s="22" t="s">
        <v>67</v>
      </c>
      <c r="E33" s="19">
        <v>9.212759004577574</v>
      </c>
      <c r="F33" s="22">
        <v>1024.68</v>
      </c>
      <c r="G33" s="22">
        <v>638.79</v>
      </c>
      <c r="H33" s="19">
        <v>18.432354173037659</v>
      </c>
      <c r="I33" s="22">
        <v>1016.85</v>
      </c>
      <c r="J33" s="21">
        <v>601.16999999999996</v>
      </c>
      <c r="L33"/>
      <c r="M33"/>
      <c r="N33" s="27"/>
    </row>
    <row r="34" spans="1:14">
      <c r="L34" s="26"/>
      <c r="M34" s="27"/>
      <c r="N34" s="27"/>
    </row>
    <row r="35" spans="1:14">
      <c r="L35" s="26"/>
      <c r="M35" s="27"/>
      <c r="N35" s="27"/>
    </row>
    <row r="36" spans="1:14">
      <c r="B36" s="12"/>
      <c r="L36" s="29"/>
      <c r="M36" s="27"/>
      <c r="N36" s="27"/>
    </row>
    <row r="37" spans="1:14">
      <c r="G37" s="15"/>
    </row>
  </sheetData>
  <sortState xmlns:xlrd2="http://schemas.microsoft.com/office/spreadsheetml/2017/richdata2" ref="A3:N33">
    <sortCondition ref="A3:A33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Fig.2a</vt:lpstr>
      <vt:lpstr>Fig.2b</vt:lpstr>
      <vt:lpstr>Fig.2c</vt:lpstr>
      <vt:lpstr>Fig.2d</vt:lpstr>
      <vt:lpstr>Fig.2e</vt:lpstr>
      <vt:lpstr>Fig.2f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Jingjing Dong</dc:creator>
  <cp:keywords/>
  <dc:description/>
  <cp:lastModifiedBy>Jingjing Dong</cp:lastModifiedBy>
  <dcterms:created xsi:type="dcterms:W3CDTF">2025-09-26T02:47:58Z</dcterms:created>
  <dcterms:modified xsi:type="dcterms:W3CDTF">2026-02-02T09:01:10Z</dcterms:modified>
  <cp:category/>
</cp:coreProperties>
</file>