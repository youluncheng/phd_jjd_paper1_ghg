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26A8D0DA-BC4F-D049-9871-0329233EED54}" xr6:coauthVersionLast="47" xr6:coauthVersionMax="47" xr10:uidLastSave="{00000000-0000-0000-0000-000000000000}"/>
  <bookViews>
    <workbookView xWindow="4440" yWindow="760" windowWidth="25800" windowHeight="17840" activeTab="3" xr2:uid="{AC41E723-80CD-C04F-8207-2C110BCDC858}"/>
  </bookViews>
  <sheets>
    <sheet name="Fig.2a" sheetId="1" r:id="rId1"/>
    <sheet name="Fig.2b" sheetId="2" r:id="rId2"/>
    <sheet name="Fig.2c" sheetId="3" r:id="rId3"/>
    <sheet name="Fig.2d" sheetId="4" r:id="rId4"/>
    <sheet name="Fig.2e" sheetId="5" r:id="rId5"/>
    <sheet name="Fig.2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</calcChain>
</file>

<file path=xl/sharedStrings.xml><?xml version="1.0" encoding="utf-8"?>
<sst xmlns="http://schemas.openxmlformats.org/spreadsheetml/2006/main" count="280" uniqueCount="118">
  <si>
    <t>Name</t>
  </si>
  <si>
    <t>Crop planting area</t>
  </si>
  <si>
    <t>Food crop planting area</t>
  </si>
  <si>
    <t>Food crop yield</t>
  </si>
  <si>
    <t>Provincial emission intensity</t>
  </si>
  <si>
    <t>year</t>
  </si>
  <si>
    <t>(wt)</t>
  </si>
  <si>
    <t>AH</t>
  </si>
  <si>
    <t>Anhui</t>
  </si>
  <si>
    <t>BJ</t>
  </si>
  <si>
    <t>Beijing</t>
  </si>
  <si>
    <t>CQ</t>
  </si>
  <si>
    <t>Chongqing</t>
  </si>
  <si>
    <t>FJ</t>
  </si>
  <si>
    <t>Fujian</t>
  </si>
  <si>
    <t>GS</t>
  </si>
  <si>
    <t>Gansu</t>
  </si>
  <si>
    <t>GD</t>
  </si>
  <si>
    <t>Guangdong</t>
  </si>
  <si>
    <t>GX</t>
  </si>
  <si>
    <t>Guangxi</t>
  </si>
  <si>
    <t>GZ</t>
  </si>
  <si>
    <t>Guizhou</t>
  </si>
  <si>
    <t>HAN</t>
  </si>
  <si>
    <t>Hainan</t>
  </si>
  <si>
    <t>HE</t>
  </si>
  <si>
    <t>Hebei</t>
  </si>
  <si>
    <t>HLJ</t>
  </si>
  <si>
    <t>Heilongjiang</t>
  </si>
  <si>
    <t>HEN</t>
  </si>
  <si>
    <t>Henan</t>
  </si>
  <si>
    <t>HUB</t>
  </si>
  <si>
    <t>Hubei</t>
  </si>
  <si>
    <t>HUN</t>
  </si>
  <si>
    <t>Hunan</t>
  </si>
  <si>
    <t>NMG</t>
  </si>
  <si>
    <t>Inner Mongolia</t>
  </si>
  <si>
    <t>JS</t>
  </si>
  <si>
    <t>Jiangsu</t>
  </si>
  <si>
    <t>JX</t>
  </si>
  <si>
    <t>Jiangxi</t>
  </si>
  <si>
    <t>JL</t>
  </si>
  <si>
    <t>Jilin</t>
  </si>
  <si>
    <t>LN</t>
  </si>
  <si>
    <t>Liaoning</t>
  </si>
  <si>
    <t>NX</t>
  </si>
  <si>
    <t>Ningxia</t>
  </si>
  <si>
    <t>QH</t>
  </si>
  <si>
    <t>Qinghai</t>
  </si>
  <si>
    <t>SN</t>
  </si>
  <si>
    <t>Shaanxi</t>
  </si>
  <si>
    <t>SD</t>
  </si>
  <si>
    <t>Shandong</t>
  </si>
  <si>
    <t>SH</t>
  </si>
  <si>
    <t>Shanghai</t>
  </si>
  <si>
    <t>SX</t>
  </si>
  <si>
    <t>Shanxi</t>
  </si>
  <si>
    <t>SC</t>
  </si>
  <si>
    <t>Sichuan</t>
  </si>
  <si>
    <t>TJ</t>
  </si>
  <si>
    <t>Tianjin</t>
  </si>
  <si>
    <t>XZ</t>
  </si>
  <si>
    <t>Tibet</t>
  </si>
  <si>
    <t>XJ</t>
  </si>
  <si>
    <t>Xinjiang</t>
  </si>
  <si>
    <t>YN</t>
  </si>
  <si>
    <t>Yunnan</t>
  </si>
  <si>
    <t>ZJ</t>
  </si>
  <si>
    <t>Zhejiang</t>
  </si>
  <si>
    <t>AH</t>
    <phoneticPr fontId="1" type="noConversion"/>
  </si>
  <si>
    <t>BJ</t>
    <phoneticPr fontId="1" type="noConversion"/>
  </si>
  <si>
    <t>CQ</t>
    <phoneticPr fontId="1" type="noConversion"/>
  </si>
  <si>
    <t>GS</t>
    <phoneticPr fontId="1" type="noConversion"/>
  </si>
  <si>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Times New Roman"/>
        <family val="1"/>
      </rPr>
      <t>kha</t>
    </r>
    <r>
      <rPr>
        <sz val="12"/>
        <color theme="1"/>
        <rFont val="等线"/>
        <family val="2"/>
        <charset val="134"/>
      </rPr>
      <t>）</t>
    </r>
  </si>
  <si>
    <t>FJ</t>
    <phoneticPr fontId="1" type="noConversion"/>
  </si>
  <si>
    <t>GD</t>
    <phoneticPr fontId="1" type="noConversion"/>
  </si>
  <si>
    <t>GX</t>
    <phoneticPr fontId="1" type="noConversion"/>
  </si>
  <si>
    <t>GZ</t>
    <phoneticPr fontId="1" type="noConversion"/>
  </si>
  <si>
    <t>HAN</t>
    <phoneticPr fontId="1" type="noConversion"/>
  </si>
  <si>
    <t>HE</t>
    <phoneticPr fontId="1" type="noConversion"/>
  </si>
  <si>
    <t>HLJ</t>
    <phoneticPr fontId="1" type="noConversion"/>
  </si>
  <si>
    <t>HEN</t>
    <phoneticPr fontId="1" type="noConversion"/>
  </si>
  <si>
    <t>HUB</t>
    <phoneticPr fontId="1" type="noConversion"/>
  </si>
  <si>
    <t>HUN</t>
    <phoneticPr fontId="1" type="noConversion"/>
  </si>
  <si>
    <t>NMG</t>
    <phoneticPr fontId="1" type="noConversion"/>
  </si>
  <si>
    <t>JS</t>
    <phoneticPr fontId="1" type="noConversion"/>
  </si>
  <si>
    <t>JX</t>
    <phoneticPr fontId="1" type="noConversion"/>
  </si>
  <si>
    <t>JL</t>
    <phoneticPr fontId="1" type="noConversion"/>
  </si>
  <si>
    <t>LN</t>
    <phoneticPr fontId="1" type="noConversion"/>
  </si>
  <si>
    <t>NX</t>
    <phoneticPr fontId="1" type="noConversion"/>
  </si>
  <si>
    <t>QH</t>
    <phoneticPr fontId="1" type="noConversion"/>
  </si>
  <si>
    <t>SN</t>
    <phoneticPr fontId="1" type="noConversion"/>
  </si>
  <si>
    <t>SD</t>
    <phoneticPr fontId="1" type="noConversion"/>
  </si>
  <si>
    <t>SH</t>
    <phoneticPr fontId="1" type="noConversion"/>
  </si>
  <si>
    <t>SX</t>
    <phoneticPr fontId="1" type="noConversion"/>
  </si>
  <si>
    <t>SC</t>
    <phoneticPr fontId="1" type="noConversion"/>
  </si>
  <si>
    <t>TJ</t>
    <phoneticPr fontId="1" type="noConversion"/>
  </si>
  <si>
    <t>XJ</t>
    <phoneticPr fontId="1" type="noConversion"/>
  </si>
  <si>
    <t>Dryland area</t>
  </si>
  <si>
    <t>Paddy field area</t>
    <phoneticPr fontId="1" type="noConversion"/>
  </si>
  <si>
    <t>Proportion of dryland area</t>
  </si>
  <si>
    <t>%</t>
  </si>
  <si>
    <t>%</t>
    <phoneticPr fontId="1" type="noConversion"/>
  </si>
  <si>
    <t>kha</t>
  </si>
  <si>
    <t>kha</t>
    <phoneticPr fontId="1" type="noConversion"/>
  </si>
  <si>
    <t>Mt</t>
    <phoneticPr fontId="1" type="noConversion"/>
  </si>
  <si>
    <t>t/ha</t>
    <phoneticPr fontId="1" type="noConversion"/>
  </si>
  <si>
    <t>year</t>
    <phoneticPr fontId="1" type="noConversion"/>
  </si>
  <si>
    <t>Food crop planting area</t>
    <phoneticPr fontId="1" type="noConversion"/>
  </si>
  <si>
    <t>Proportion of dryland area</t>
    <phoneticPr fontId="1" type="noConversion"/>
  </si>
  <si>
    <t>Emission intensity</t>
    <phoneticPr fontId="1" type="noConversion"/>
  </si>
  <si>
    <t>GHG emissions</t>
    <phoneticPr fontId="1" type="noConversion"/>
  </si>
  <si>
    <t>N2O emissions</t>
    <phoneticPr fontId="7" type="noConversion"/>
  </si>
  <si>
    <t>CH4 emissions</t>
  </si>
  <si>
    <t>CO2 emissions</t>
  </si>
  <si>
    <t>Delta_Yield</t>
    <phoneticPr fontId="1" type="noConversion"/>
  </si>
  <si>
    <t xml:space="preserve">Delta_Area </t>
    <phoneticPr fontId="1" type="noConversion"/>
  </si>
  <si>
    <t>Delta_GHG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</si>
</sst>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SimSun"/>
      <family val="3"/>
      <charset val="134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sz val="9"/>
      <name val="等线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0" fontId="3" fillId="0" borderId="0" xfId="0" applyNumberFormat="1" applyFont="1" applyAlignment="1">
      <alignment horizontal="center" vertical="center"/>
    </xf>
    <xf numFmtId="40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6" fontId="9" fillId="0" borderId="0" xfId="0" applyNumberFormat="1" applyFont="1">
      <alignment vertical="center"/>
    </xf>
    <xf numFmtId="176" fontId="10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11" fillId="0" borderId="0" xfId="0" applyNumberFormat="1" applyFont="1">
      <alignment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A72E-9A3D-5746-90FE-D91178137DE0}">
  <dimension ref="A1:O33"/>
  <sheetViews>
    <sheetView workbookViewId="0">
      <selection activeCell="E38" sqref="E38"/>
    </sheetView>
  </sheetViews>
  <sheetFormatPr baseColWidth="10" defaultRowHeight="16"/>
  <cols>
    <col min="1" max="2" width="10.83203125" style="1"/>
    <col min="3" max="3" width="21.6640625" style="1" bestFit="1" customWidth="1"/>
    <col min="4" max="4" width="20.6640625" style="1" customWidth="1"/>
    <col min="5" max="5" width="10.83203125" style="1"/>
    <col min="6" max="6" width="10.83203125" style="3"/>
    <col min="7" max="8" width="10.83203125" style="1"/>
    <col min="9" max="9" width="21.6640625" style="1" bestFit="1" customWidth="1"/>
    <col min="10" max="10" width="14.6640625" style="1" bestFit="1" customWidth="1"/>
    <col min="11" max="11" width="14.83203125" style="1" bestFit="1" customWidth="1"/>
    <col min="12" max="16384" width="10.83203125" style="1"/>
  </cols>
  <sheetData>
    <row r="1" spans="1:15">
      <c r="A1" s="1" t="s">
        <v>0</v>
      </c>
      <c r="B1" s="1" t="s">
        <v>111</v>
      </c>
      <c r="C1" s="1" t="s">
        <v>108</v>
      </c>
      <c r="D1" s="1" t="s">
        <v>109</v>
      </c>
      <c r="E1" s="1" t="s">
        <v>110</v>
      </c>
      <c r="H1" s="1" t="s">
        <v>1</v>
      </c>
      <c r="I1" s="1" t="s">
        <v>2</v>
      </c>
      <c r="J1" s="1" t="s">
        <v>3</v>
      </c>
      <c r="K1" s="1" t="s">
        <v>99</v>
      </c>
      <c r="L1" s="1" t="s">
        <v>98</v>
      </c>
      <c r="M1" s="1" t="s">
        <v>100</v>
      </c>
    </row>
    <row r="2" spans="1:15">
      <c r="A2" s="1" t="s">
        <v>107</v>
      </c>
      <c r="B2" s="1" t="s">
        <v>105</v>
      </c>
      <c r="C2" s="1" t="s">
        <v>104</v>
      </c>
      <c r="D2" s="1" t="s">
        <v>102</v>
      </c>
      <c r="E2" s="1" t="s">
        <v>106</v>
      </c>
      <c r="H2" s="1" t="s">
        <v>73</v>
      </c>
      <c r="I2" s="1" t="s">
        <v>73</v>
      </c>
      <c r="J2" s="1" t="s">
        <v>6</v>
      </c>
      <c r="K2" s="1" t="s">
        <v>73</v>
      </c>
      <c r="L2" s="1" t="s">
        <v>73</v>
      </c>
    </row>
    <row r="3" spans="1:15">
      <c r="A3" s="1" t="s">
        <v>69</v>
      </c>
      <c r="B3" s="1">
        <v>63.754251388123301</v>
      </c>
      <c r="C3" s="1">
        <v>7334.46</v>
      </c>
      <c r="D3" s="1">
        <v>61.955119427962899</v>
      </c>
      <c r="E3" s="1">
        <v>0.64970725168498999</v>
      </c>
      <c r="G3" s="1" t="s">
        <v>8</v>
      </c>
      <c r="H3" s="1">
        <v>9043.9599999999991</v>
      </c>
      <c r="I3" s="1">
        <v>7334.46</v>
      </c>
      <c r="J3" s="1">
        <v>4150.75</v>
      </c>
      <c r="K3" s="1">
        <v>2500.69</v>
      </c>
      <c r="L3" s="1">
        <v>4072.31</v>
      </c>
      <c r="M3" s="1">
        <f>L3/(K3+L3)*100</f>
        <v>61.955119427962877</v>
      </c>
      <c r="N3" s="1">
        <f>B3*1000/I3</f>
        <v>8.6924260801917654</v>
      </c>
      <c r="O3" s="1">
        <v>63.754251388123301</v>
      </c>
    </row>
    <row r="4" spans="1:15">
      <c r="A4" s="1" t="s">
        <v>70</v>
      </c>
      <c r="B4" s="1">
        <v>0.63927810489742598</v>
      </c>
      <c r="C4" s="1">
        <v>89.47</v>
      </c>
      <c r="D4" s="2">
        <v>99.594893199116129</v>
      </c>
      <c r="E4" s="1">
        <v>0.811379549586008</v>
      </c>
      <c r="G4" s="1" t="s">
        <v>10</v>
      </c>
      <c r="H4" s="1">
        <v>158.97999999999999</v>
      </c>
      <c r="I4" s="1">
        <v>89.47</v>
      </c>
      <c r="J4" s="1">
        <v>47.78</v>
      </c>
      <c r="K4" s="2">
        <v>0.33</v>
      </c>
      <c r="L4" s="2">
        <v>81.13</v>
      </c>
      <c r="M4" s="1">
        <f t="shared" ref="M4:M33" si="0">L4/(K4+L4)*100</f>
        <v>99.594893199116129</v>
      </c>
      <c r="O4" s="1">
        <v>0.63927810489742598</v>
      </c>
    </row>
    <row r="5" spans="1:15">
      <c r="A5" s="1" t="s">
        <v>71</v>
      </c>
      <c r="B5" s="1">
        <v>11.205703806285699</v>
      </c>
      <c r="C5" s="1">
        <v>2025.93</v>
      </c>
      <c r="D5" s="1">
        <v>41.559481240326626</v>
      </c>
      <c r="E5" s="1">
        <v>0.48304850127955828</v>
      </c>
      <c r="G5" s="1" t="s">
        <v>12</v>
      </c>
      <c r="H5" s="1">
        <v>3506.19</v>
      </c>
      <c r="I5" s="1">
        <v>2025.93</v>
      </c>
      <c r="J5" s="1">
        <v>1095.9000000000001</v>
      </c>
      <c r="K5" s="1">
        <v>657</v>
      </c>
      <c r="L5" s="1">
        <v>467.22</v>
      </c>
      <c r="M5" s="1">
        <f t="shared" si="0"/>
        <v>41.559481240326626</v>
      </c>
      <c r="O5" s="1">
        <v>11.205703806285699</v>
      </c>
    </row>
    <row r="6" spans="1:15">
      <c r="A6" s="1" t="s">
        <v>74</v>
      </c>
      <c r="B6" s="1">
        <v>8.4311774242604098</v>
      </c>
      <c r="C6" s="1">
        <v>841.1</v>
      </c>
      <c r="D6" s="1">
        <v>5.6727238489784382</v>
      </c>
      <c r="E6" s="1">
        <v>0.81316002479426397</v>
      </c>
      <c r="G6" s="1" t="s">
        <v>14</v>
      </c>
      <c r="H6" s="1">
        <v>1712.25</v>
      </c>
      <c r="I6" s="1">
        <v>841.1</v>
      </c>
      <c r="J6" s="1">
        <v>510.97</v>
      </c>
      <c r="K6" s="1">
        <v>601.11</v>
      </c>
      <c r="L6" s="1">
        <v>36.15</v>
      </c>
      <c r="M6" s="1">
        <f t="shared" si="0"/>
        <v>5.6727238489784382</v>
      </c>
      <c r="O6" s="1">
        <v>8.4311774242604098</v>
      </c>
    </row>
    <row r="7" spans="1:15">
      <c r="A7" s="1" t="s">
        <v>72</v>
      </c>
      <c r="B7" s="1">
        <v>9.1647128290918296</v>
      </c>
      <c r="C7" s="1">
        <v>2710.93</v>
      </c>
      <c r="D7" s="1">
        <v>99.87565228251367</v>
      </c>
      <c r="E7" s="1">
        <v>0.35389836947489017</v>
      </c>
      <c r="G7" s="1" t="s">
        <v>16</v>
      </c>
      <c r="H7" s="1">
        <v>4139.59</v>
      </c>
      <c r="I7" s="1">
        <v>2710.93</v>
      </c>
      <c r="J7" s="1">
        <v>1272.9000000000001</v>
      </c>
      <c r="K7" s="1">
        <v>2.29</v>
      </c>
      <c r="L7" s="1">
        <v>1839.32</v>
      </c>
      <c r="M7" s="1">
        <f t="shared" si="0"/>
        <v>99.87565228251367</v>
      </c>
      <c r="O7" s="1">
        <v>9.1647128290918296</v>
      </c>
    </row>
    <row r="8" spans="1:15">
      <c r="A8" s="1" t="s">
        <v>75</v>
      </c>
      <c r="B8" s="1">
        <v>28.5327119569614</v>
      </c>
      <c r="C8" s="1">
        <v>2229.5100000000002</v>
      </c>
      <c r="D8" s="1">
        <v>6.8638842174998729</v>
      </c>
      <c r="E8" s="1">
        <v>0.77020752762723133</v>
      </c>
      <c r="G8" s="1" t="s">
        <v>18</v>
      </c>
      <c r="H8" s="1">
        <v>4587.2700000000004</v>
      </c>
      <c r="I8" s="1">
        <v>2229.5100000000002</v>
      </c>
      <c r="J8" s="1">
        <v>1285.19</v>
      </c>
      <c r="K8" s="1">
        <v>1827.61</v>
      </c>
      <c r="L8" s="1">
        <v>134.69</v>
      </c>
      <c r="M8" s="1">
        <f t="shared" si="0"/>
        <v>6.8638842174998729</v>
      </c>
      <c r="O8" s="1">
        <v>28.5327119569614</v>
      </c>
    </row>
    <row r="9" spans="1:15">
      <c r="A9" s="1" t="s">
        <v>76</v>
      </c>
      <c r="B9" s="1">
        <v>27.955852360962599</v>
      </c>
      <c r="C9" s="1">
        <v>2834.72</v>
      </c>
      <c r="D9" s="1">
        <v>26.076880447377697</v>
      </c>
      <c r="E9" s="1">
        <v>0.66260831017876165</v>
      </c>
      <c r="G9" s="1" t="s">
        <v>20</v>
      </c>
      <c r="H9" s="1">
        <v>6352.35</v>
      </c>
      <c r="I9" s="1">
        <v>2834.72</v>
      </c>
      <c r="J9" s="1">
        <v>1395.36</v>
      </c>
      <c r="K9" s="1">
        <v>1760.76</v>
      </c>
      <c r="L9" s="1">
        <v>621.12</v>
      </c>
      <c r="M9" s="1">
        <f t="shared" si="0"/>
        <v>26.076880447377697</v>
      </c>
      <c r="O9" s="1">
        <v>27.955852360962599</v>
      </c>
    </row>
    <row r="10" spans="1:15">
      <c r="A10" s="1" t="s">
        <v>77</v>
      </c>
      <c r="B10" s="1">
        <v>10.8436199827926</v>
      </c>
      <c r="C10" s="1">
        <v>2773.8</v>
      </c>
      <c r="D10" s="1">
        <v>58.164277276240753</v>
      </c>
      <c r="E10" s="1">
        <v>0.33659971365982705</v>
      </c>
      <c r="G10" s="1" t="s">
        <v>22</v>
      </c>
      <c r="H10" s="1">
        <v>5344.29</v>
      </c>
      <c r="I10" s="1">
        <v>2773.8</v>
      </c>
      <c r="J10" s="1">
        <v>1119.68</v>
      </c>
      <c r="K10" s="1">
        <v>573.71</v>
      </c>
      <c r="L10" s="1">
        <v>797.63</v>
      </c>
      <c r="M10" s="1">
        <f t="shared" si="0"/>
        <v>58.164277276240753</v>
      </c>
      <c r="O10" s="1">
        <v>10.8436199827926</v>
      </c>
    </row>
    <row r="11" spans="1:15">
      <c r="A11" s="1" t="s">
        <v>78</v>
      </c>
      <c r="B11" s="1">
        <v>3.9925030934546397</v>
      </c>
      <c r="C11" s="1">
        <v>273.58999999999997</v>
      </c>
      <c r="D11" s="1">
        <v>0</v>
      </c>
      <c r="E11" s="1">
        <v>1.1480648397668343</v>
      </c>
      <c r="G11" s="1" t="s">
        <v>24</v>
      </c>
      <c r="H11" s="1">
        <v>702.36</v>
      </c>
      <c r="I11" s="1">
        <v>273.58999999999997</v>
      </c>
      <c r="J11" s="1">
        <v>147.02000000000001</v>
      </c>
      <c r="K11" s="1">
        <v>228.68</v>
      </c>
      <c r="L11" s="1">
        <v>0</v>
      </c>
      <c r="M11" s="1">
        <f t="shared" si="0"/>
        <v>0</v>
      </c>
      <c r="O11" s="1">
        <v>3.9925030934546397</v>
      </c>
    </row>
    <row r="12" spans="1:15">
      <c r="A12" s="1" t="s">
        <v>79</v>
      </c>
      <c r="B12" s="1">
        <v>35.591325709347004</v>
      </c>
      <c r="C12" s="1">
        <v>6455.19</v>
      </c>
      <c r="D12" s="1">
        <v>98.724884616719294</v>
      </c>
      <c r="E12" s="1">
        <v>0.59865937537952085</v>
      </c>
      <c r="G12" s="1" t="s">
        <v>26</v>
      </c>
      <c r="H12" s="1">
        <v>8098.23</v>
      </c>
      <c r="I12" s="1">
        <v>6455.19</v>
      </c>
      <c r="J12" s="1">
        <v>3809.92</v>
      </c>
      <c r="K12" s="1">
        <v>73.489999999999995</v>
      </c>
      <c r="L12" s="1">
        <v>5689.91</v>
      </c>
      <c r="M12" s="1">
        <f t="shared" si="0"/>
        <v>98.724884616719294</v>
      </c>
      <c r="O12" s="1">
        <v>35.591325709347004</v>
      </c>
    </row>
    <row r="13" spans="1:15">
      <c r="A13" s="1" t="s">
        <v>80</v>
      </c>
      <c r="B13" s="1">
        <v>102.910368100078</v>
      </c>
      <c r="C13" s="1">
        <v>14743.09</v>
      </c>
      <c r="D13" s="2">
        <v>66.440509510716112</v>
      </c>
      <c r="E13" s="1">
        <v>0.41816642298579593</v>
      </c>
      <c r="G13" s="1" t="s">
        <v>28</v>
      </c>
      <c r="H13" s="1">
        <v>15304.22</v>
      </c>
      <c r="I13" s="1">
        <v>14743.09</v>
      </c>
      <c r="J13" s="1">
        <v>7788.22</v>
      </c>
      <c r="K13" s="1">
        <v>3268.54</v>
      </c>
      <c r="L13" s="2">
        <v>6471</v>
      </c>
      <c r="M13" s="1">
        <f t="shared" si="0"/>
        <v>66.440509510716112</v>
      </c>
      <c r="O13" s="1">
        <v>102.910368100078</v>
      </c>
    </row>
    <row r="14" spans="1:15">
      <c r="A14" s="1" t="s">
        <v>81</v>
      </c>
      <c r="B14" s="1">
        <v>64.932612477067593</v>
      </c>
      <c r="C14" s="1">
        <v>10785.29</v>
      </c>
      <c r="D14" s="1">
        <v>94.174746750627875</v>
      </c>
      <c r="E14" s="1">
        <v>0.59469591155291823</v>
      </c>
      <c r="G14" s="1" t="s">
        <v>30</v>
      </c>
      <c r="H14" s="1">
        <v>14747.14</v>
      </c>
      <c r="I14" s="1">
        <v>10785.29</v>
      </c>
      <c r="J14" s="1">
        <v>6624.27</v>
      </c>
      <c r="K14" s="2">
        <v>590.75</v>
      </c>
      <c r="L14" s="1">
        <v>9550.44</v>
      </c>
      <c r="M14" s="1">
        <f t="shared" si="0"/>
        <v>94.174746750627875</v>
      </c>
      <c r="O14" s="1">
        <v>64.932612477067593</v>
      </c>
    </row>
    <row r="15" spans="1:15">
      <c r="A15" s="1" t="s">
        <v>82</v>
      </c>
      <c r="B15" s="1">
        <v>51.2057013284115</v>
      </c>
      <c r="C15" s="1">
        <v>4706.97</v>
      </c>
      <c r="D15" s="1">
        <v>44.231396446656937</v>
      </c>
      <c r="E15" s="1">
        <v>0.79678333004515867</v>
      </c>
      <c r="G15" s="1" t="s">
        <v>32</v>
      </c>
      <c r="H15" s="1">
        <v>8309.25</v>
      </c>
      <c r="I15" s="1">
        <v>4706.97</v>
      </c>
      <c r="J15" s="1">
        <v>2777.04</v>
      </c>
      <c r="K15" s="1">
        <v>2274.16</v>
      </c>
      <c r="L15" s="1">
        <v>1803.69</v>
      </c>
      <c r="M15" s="1">
        <f t="shared" si="0"/>
        <v>44.231396446656937</v>
      </c>
      <c r="O15" s="1">
        <v>51.2057013284115</v>
      </c>
    </row>
    <row r="16" spans="1:15">
      <c r="A16" s="1" t="s">
        <v>83</v>
      </c>
      <c r="B16" s="1">
        <v>51.3802766474682</v>
      </c>
      <c r="C16" s="1">
        <v>4763.4799999999996</v>
      </c>
      <c r="D16" s="1">
        <v>9.8175096591700992</v>
      </c>
      <c r="E16" s="1">
        <v>0.66599717908953404</v>
      </c>
      <c r="G16" s="1" t="s">
        <v>34</v>
      </c>
      <c r="H16" s="1">
        <v>8714.9500000000007</v>
      </c>
      <c r="I16" s="1">
        <v>4763.4799999999996</v>
      </c>
      <c r="J16" s="1">
        <v>3068.01</v>
      </c>
      <c r="K16" s="1">
        <v>3946.99</v>
      </c>
      <c r="L16" s="1">
        <v>429.68</v>
      </c>
      <c r="M16" s="1">
        <f t="shared" si="0"/>
        <v>9.8175096591700992</v>
      </c>
      <c r="O16" s="1">
        <v>51.3802766474682</v>
      </c>
    </row>
    <row r="17" spans="1:15">
      <c r="A17" s="1" t="s">
        <v>84</v>
      </c>
      <c r="B17" s="1">
        <v>23.076820585871999</v>
      </c>
      <c r="C17" s="1">
        <v>6984.73</v>
      </c>
      <c r="D17" s="1">
        <v>97.838490831037788</v>
      </c>
      <c r="E17" s="1">
        <v>0.30874401153065301</v>
      </c>
      <c r="G17" s="1" t="s">
        <v>36</v>
      </c>
      <c r="H17" s="1">
        <v>8808.8700000000008</v>
      </c>
      <c r="I17" s="1">
        <v>6984.73</v>
      </c>
      <c r="J17" s="1">
        <v>3957.84</v>
      </c>
      <c r="K17" s="1">
        <v>103.42</v>
      </c>
      <c r="L17" s="1">
        <v>4681.2</v>
      </c>
      <c r="M17" s="1">
        <f t="shared" si="0"/>
        <v>97.838490831037788</v>
      </c>
      <c r="O17" s="1">
        <v>23.076820585871999</v>
      </c>
    </row>
    <row r="18" spans="1:15">
      <c r="A18" s="1" t="s">
        <v>85</v>
      </c>
      <c r="B18" s="1">
        <v>54.226255533743597</v>
      </c>
      <c r="C18" s="1">
        <v>5458.94</v>
      </c>
      <c r="D18" s="1">
        <v>56.440766055090855</v>
      </c>
      <c r="E18" s="1">
        <v>0.66420377440342948</v>
      </c>
      <c r="G18" s="1" t="s">
        <v>38</v>
      </c>
      <c r="H18" s="1">
        <v>7589.96</v>
      </c>
      <c r="I18" s="1">
        <v>5458.94</v>
      </c>
      <c r="J18" s="1">
        <v>3797.7</v>
      </c>
      <c r="K18" s="1">
        <v>2221.02</v>
      </c>
      <c r="L18" s="1">
        <v>2877.83</v>
      </c>
      <c r="M18" s="1">
        <f t="shared" si="0"/>
        <v>56.440766055090855</v>
      </c>
      <c r="O18" s="1">
        <v>54.226255533743597</v>
      </c>
    </row>
    <row r="19" spans="1:15">
      <c r="A19" s="1" t="s">
        <v>86</v>
      </c>
      <c r="B19" s="1">
        <v>44.630474100349097</v>
      </c>
      <c r="C19" s="1">
        <v>3774.29</v>
      </c>
      <c r="D19" s="1">
        <v>2.0791554895781785</v>
      </c>
      <c r="E19" s="1">
        <v>0.64495603972970061</v>
      </c>
      <c r="G19" s="1" t="s">
        <v>40</v>
      </c>
      <c r="H19" s="1">
        <v>5797.01</v>
      </c>
      <c r="I19" s="1">
        <v>3774.29</v>
      </c>
      <c r="J19" s="1">
        <v>2198.31</v>
      </c>
      <c r="K19" s="1">
        <v>3383.88</v>
      </c>
      <c r="L19" s="1">
        <v>71.849999999999994</v>
      </c>
      <c r="M19" s="1">
        <f t="shared" si="0"/>
        <v>2.0791554895781785</v>
      </c>
      <c r="O19" s="1">
        <v>44.630474100349097</v>
      </c>
    </row>
    <row r="20" spans="1:15">
      <c r="A20" s="1" t="s">
        <v>87</v>
      </c>
      <c r="B20" s="1">
        <v>35.1514318805446</v>
      </c>
      <c r="C20" s="1">
        <v>5825.61</v>
      </c>
      <c r="D20" s="1">
        <v>84.589009893810285</v>
      </c>
      <c r="E20" s="1">
        <v>0.49131590296117317</v>
      </c>
      <c r="G20" s="1" t="s">
        <v>42</v>
      </c>
      <c r="H20" s="1">
        <v>6292.47</v>
      </c>
      <c r="I20" s="1">
        <v>5825.61</v>
      </c>
      <c r="J20" s="1">
        <v>4186.5</v>
      </c>
      <c r="K20" s="2">
        <v>828.82</v>
      </c>
      <c r="L20" s="1">
        <v>4549.29</v>
      </c>
      <c r="M20" s="1">
        <f t="shared" si="0"/>
        <v>84.589009893810285</v>
      </c>
      <c r="O20" s="1">
        <v>35.1514318805446</v>
      </c>
    </row>
    <row r="21" spans="1:15">
      <c r="A21" s="1" t="s">
        <v>88</v>
      </c>
      <c r="B21" s="1">
        <v>20.330273313474901</v>
      </c>
      <c r="C21" s="1">
        <v>3578.39</v>
      </c>
      <c r="D21" s="1">
        <v>84.863671420146076</v>
      </c>
      <c r="E21" s="1">
        <v>0.49657087099618941</v>
      </c>
      <c r="G21" s="1" t="s">
        <v>44</v>
      </c>
      <c r="H21" s="1">
        <v>4361.42</v>
      </c>
      <c r="I21" s="1">
        <v>3578.39</v>
      </c>
      <c r="J21" s="1">
        <v>2563.4</v>
      </c>
      <c r="K21" s="1">
        <v>500.46</v>
      </c>
      <c r="L21" s="1">
        <v>2805.89</v>
      </c>
      <c r="M21" s="1">
        <f t="shared" si="0"/>
        <v>84.863671420146076</v>
      </c>
      <c r="O21" s="1">
        <v>20.330273313474901</v>
      </c>
    </row>
    <row r="22" spans="1:15">
      <c r="A22" s="1" t="s">
        <v>89</v>
      </c>
      <c r="B22" s="1">
        <v>3.7188301006580202</v>
      </c>
      <c r="C22" s="1">
        <v>693.89</v>
      </c>
      <c r="D22" s="1">
        <v>95.801510788364425</v>
      </c>
      <c r="E22" s="1">
        <v>0.44456924396884612</v>
      </c>
      <c r="G22" s="1" t="s">
        <v>46</v>
      </c>
      <c r="H22" s="1">
        <v>1199.0999999999999</v>
      </c>
      <c r="I22" s="1">
        <v>693.89</v>
      </c>
      <c r="J22" s="1">
        <v>378.8</v>
      </c>
      <c r="K22" s="1">
        <v>20.12</v>
      </c>
      <c r="L22" s="1">
        <v>459.1</v>
      </c>
      <c r="M22" s="1">
        <f t="shared" si="0"/>
        <v>95.801510788364425</v>
      </c>
      <c r="O22" s="1">
        <v>3.7188301006580202</v>
      </c>
    </row>
    <row r="23" spans="1:15">
      <c r="A23" s="1" t="s">
        <v>90</v>
      </c>
      <c r="B23" s="1">
        <v>1.49839358609969</v>
      </c>
      <c r="C23" s="1">
        <v>304.89999999999998</v>
      </c>
      <c r="D23" s="1">
        <v>100</v>
      </c>
      <c r="E23" s="1">
        <v>0.54429418788991912</v>
      </c>
      <c r="G23" s="1" t="s">
        <v>48</v>
      </c>
      <c r="H23" s="1">
        <v>598.79999999999995</v>
      </c>
      <c r="I23" s="1">
        <v>304.89999999999998</v>
      </c>
      <c r="J23" s="1">
        <v>116.23</v>
      </c>
      <c r="K23" s="1">
        <v>0</v>
      </c>
      <c r="L23" s="1">
        <v>123.81</v>
      </c>
      <c r="M23" s="1">
        <f t="shared" si="0"/>
        <v>100</v>
      </c>
      <c r="O23" s="1">
        <v>1.49839358609969</v>
      </c>
    </row>
    <row r="24" spans="1:15">
      <c r="A24" s="1" t="s">
        <v>91</v>
      </c>
      <c r="B24" s="1">
        <v>11.785400439105899</v>
      </c>
      <c r="C24" s="1">
        <v>3022.97</v>
      </c>
      <c r="D24" s="1">
        <v>95.332076039702144</v>
      </c>
      <c r="E24" s="1">
        <v>0.3905461287046989</v>
      </c>
      <c r="G24" s="1" t="s">
        <v>50</v>
      </c>
      <c r="H24" s="1">
        <v>4239.9399999999996</v>
      </c>
      <c r="I24" s="1">
        <v>3022.97</v>
      </c>
      <c r="J24" s="1">
        <v>1323.66</v>
      </c>
      <c r="K24" s="1">
        <v>105.44</v>
      </c>
      <c r="L24" s="1">
        <v>2153.38</v>
      </c>
      <c r="M24" s="1">
        <f t="shared" si="0"/>
        <v>95.332076039702144</v>
      </c>
      <c r="O24" s="1">
        <v>11.785400439105899</v>
      </c>
    </row>
    <row r="25" spans="1:15">
      <c r="A25" s="1" t="s">
        <v>92</v>
      </c>
      <c r="B25" s="1">
        <v>44.248998114810604</v>
      </c>
      <c r="C25" s="1">
        <v>8387.9</v>
      </c>
      <c r="D25" s="2">
        <v>98.735941874099751</v>
      </c>
      <c r="E25" s="1">
        <v>0.55225730545554685</v>
      </c>
      <c r="G25" s="1" t="s">
        <v>52</v>
      </c>
      <c r="H25" s="1">
        <v>11002.72</v>
      </c>
      <c r="I25" s="1">
        <v>8387.9</v>
      </c>
      <c r="J25" s="1">
        <v>5655.28</v>
      </c>
      <c r="K25" s="1">
        <v>101.01</v>
      </c>
      <c r="L25" s="2">
        <v>7889.92</v>
      </c>
      <c r="M25" s="1">
        <f t="shared" si="0"/>
        <v>98.735941874099751</v>
      </c>
      <c r="O25" s="1">
        <v>44.248998114810604</v>
      </c>
    </row>
    <row r="26" spans="1:15">
      <c r="A26" s="1" t="s">
        <v>93</v>
      </c>
      <c r="B26" s="1">
        <v>1.6502778051918301</v>
      </c>
      <c r="C26" s="1">
        <v>127.17</v>
      </c>
      <c r="D26" s="1">
        <v>15.683581124757598</v>
      </c>
      <c r="E26" s="1">
        <v>1.0126599178767217</v>
      </c>
      <c r="G26" s="1" t="s">
        <v>54</v>
      </c>
      <c r="H26" s="1">
        <v>273.2</v>
      </c>
      <c r="I26" s="1">
        <v>127.17</v>
      </c>
      <c r="J26" s="1">
        <v>101.86</v>
      </c>
      <c r="K26" s="1">
        <v>104.35</v>
      </c>
      <c r="L26" s="1">
        <v>19.41</v>
      </c>
      <c r="M26" s="1">
        <f t="shared" si="0"/>
        <v>15.683581124757598</v>
      </c>
      <c r="O26" s="1">
        <v>1.6502778051918301</v>
      </c>
    </row>
    <row r="27" spans="1:15">
      <c r="A27" s="1" t="s">
        <v>94</v>
      </c>
      <c r="B27" s="1">
        <v>7.35322901837527</v>
      </c>
      <c r="C27" s="1">
        <v>3160.96</v>
      </c>
      <c r="D27" s="1">
        <v>99.90715417029017</v>
      </c>
      <c r="E27" s="1">
        <v>0.25357309522797877</v>
      </c>
      <c r="G27" s="1" t="s">
        <v>56</v>
      </c>
      <c r="H27" s="1">
        <v>3641.72</v>
      </c>
      <c r="I27" s="1">
        <v>3160.96</v>
      </c>
      <c r="J27" s="1">
        <v>1478.09</v>
      </c>
      <c r="K27" s="1">
        <v>2.21</v>
      </c>
      <c r="L27" s="1">
        <v>2378.08</v>
      </c>
      <c r="M27" s="1">
        <f t="shared" si="0"/>
        <v>99.90715417029017</v>
      </c>
      <c r="O27" s="1">
        <v>7.35322901837527</v>
      </c>
    </row>
    <row r="28" spans="1:15">
      <c r="A28" s="1" t="s">
        <v>95</v>
      </c>
      <c r="B28" s="1">
        <v>34.9867729267092</v>
      </c>
      <c r="C28" s="1">
        <v>6403.97</v>
      </c>
      <c r="D28" s="1">
        <v>57.130244877096793</v>
      </c>
      <c r="E28" s="1">
        <v>0.4229212458899782</v>
      </c>
      <c r="G28" s="1" t="s">
        <v>58</v>
      </c>
      <c r="H28" s="1">
        <v>10264.41</v>
      </c>
      <c r="I28" s="1">
        <v>6403.97</v>
      </c>
      <c r="J28" s="1">
        <v>3593.76</v>
      </c>
      <c r="K28" s="1">
        <v>1845.2</v>
      </c>
      <c r="L28" s="1">
        <v>2459</v>
      </c>
      <c r="M28" s="1">
        <f t="shared" si="0"/>
        <v>57.130244877096793</v>
      </c>
      <c r="O28" s="1">
        <v>34.9867729267092</v>
      </c>
    </row>
    <row r="29" spans="1:15">
      <c r="A29" s="1" t="s">
        <v>96</v>
      </c>
      <c r="B29" s="1">
        <v>1.0236397426138699</v>
      </c>
      <c r="C29" s="1">
        <v>390.03</v>
      </c>
      <c r="D29" s="1">
        <v>85.469394355947287</v>
      </c>
      <c r="E29" s="1">
        <v>0.412109477847306</v>
      </c>
      <c r="G29" s="1" t="s">
        <v>60</v>
      </c>
      <c r="H29" s="1">
        <v>453.1</v>
      </c>
      <c r="I29" s="1">
        <v>390.03</v>
      </c>
      <c r="J29" s="1">
        <v>255.73</v>
      </c>
      <c r="K29" s="1">
        <v>53.91</v>
      </c>
      <c r="L29" s="1">
        <v>317.10000000000002</v>
      </c>
      <c r="M29" s="1">
        <f t="shared" si="0"/>
        <v>85.469394355947287</v>
      </c>
      <c r="O29" s="1">
        <v>1.0236397426138699</v>
      </c>
    </row>
    <row r="30" spans="1:15">
      <c r="A30" s="1" t="s">
        <v>61</v>
      </c>
      <c r="B30" s="1">
        <v>2.7539266603843</v>
      </c>
      <c r="C30" s="1">
        <v>194.58</v>
      </c>
      <c r="D30" s="1">
        <v>97.779499096307774</v>
      </c>
      <c r="E30" s="1">
        <v>1.1349028328802211</v>
      </c>
      <c r="G30" s="1" t="s">
        <v>62</v>
      </c>
      <c r="H30" s="1">
        <v>281.39999999999998</v>
      </c>
      <c r="I30" s="1">
        <v>194.58</v>
      </c>
      <c r="J30" s="1">
        <v>108.87</v>
      </c>
      <c r="K30" s="1">
        <v>0.86</v>
      </c>
      <c r="L30" s="1">
        <v>37.869999999999997</v>
      </c>
      <c r="M30" s="1">
        <f t="shared" si="0"/>
        <v>97.779499096307774</v>
      </c>
      <c r="O30" s="1">
        <v>2.7539266603843</v>
      </c>
    </row>
    <row r="31" spans="1:15">
      <c r="A31" s="1" t="s">
        <v>97</v>
      </c>
      <c r="B31" s="1">
        <v>15.8765366820744</v>
      </c>
      <c r="C31" s="1">
        <v>2824.76</v>
      </c>
      <c r="D31" s="2">
        <v>98.524118472527761</v>
      </c>
      <c r="E31" s="1">
        <v>0.57504479680921472</v>
      </c>
      <c r="G31" s="1" t="s">
        <v>64</v>
      </c>
      <c r="H31" s="1">
        <v>6839.83</v>
      </c>
      <c r="I31" s="1">
        <v>2824.76</v>
      </c>
      <c r="J31" s="1">
        <v>2119.16</v>
      </c>
      <c r="K31" s="1">
        <v>39.65</v>
      </c>
      <c r="L31" s="2">
        <v>2646.88</v>
      </c>
      <c r="M31" s="1">
        <f t="shared" si="0"/>
        <v>98.524118472527761</v>
      </c>
      <c r="O31" s="1">
        <v>15.8765366820744</v>
      </c>
    </row>
    <row r="32" spans="1:15">
      <c r="A32" s="1" t="s">
        <v>65</v>
      </c>
      <c r="B32" s="1">
        <v>15.0672144135737</v>
      </c>
      <c r="C32" s="1">
        <v>4243.22</v>
      </c>
      <c r="D32" s="1">
        <v>76.298746324957008</v>
      </c>
      <c r="E32" s="1">
        <v>0.31720610720667036</v>
      </c>
      <c r="G32" s="1" t="s">
        <v>66</v>
      </c>
      <c r="H32" s="1">
        <v>7218.08</v>
      </c>
      <c r="I32" s="1">
        <v>4243.22</v>
      </c>
      <c r="J32" s="1">
        <v>1974</v>
      </c>
      <c r="K32" s="1">
        <v>683.62</v>
      </c>
      <c r="L32" s="1">
        <v>2200.6999999999998</v>
      </c>
      <c r="M32" s="1">
        <f t="shared" si="0"/>
        <v>76.298746324957008</v>
      </c>
      <c r="O32" s="1">
        <v>15.0672144135737</v>
      </c>
    </row>
    <row r="33" spans="1:15">
      <c r="A33" s="1" t="s">
        <v>67</v>
      </c>
      <c r="B33" s="1">
        <v>10.131742999654001</v>
      </c>
      <c r="C33" s="1">
        <v>1024.68</v>
      </c>
      <c r="D33" s="1">
        <v>21.770995310936726</v>
      </c>
      <c r="E33" s="1">
        <v>0.75050263355435243</v>
      </c>
      <c r="G33" s="1" t="s">
        <v>68</v>
      </c>
      <c r="H33" s="1">
        <v>2041.38</v>
      </c>
      <c r="I33" s="1">
        <v>1024.68</v>
      </c>
      <c r="J33" s="1">
        <v>638.79</v>
      </c>
      <c r="K33" s="1">
        <v>648.98</v>
      </c>
      <c r="L33" s="1">
        <v>180.61</v>
      </c>
      <c r="M33" s="1">
        <f t="shared" si="0"/>
        <v>21.770995310936726</v>
      </c>
      <c r="O33" s="1">
        <v>10.131742999654001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2337-34E5-C844-8D74-9D50CE44E96C}">
  <dimension ref="A1:N33"/>
  <sheetViews>
    <sheetView workbookViewId="0">
      <selection activeCell="C10" sqref="C10"/>
    </sheetView>
  </sheetViews>
  <sheetFormatPr baseColWidth="10" defaultRowHeight="16"/>
  <cols>
    <col min="1" max="1" width="10.83203125" style="10"/>
    <col min="2" max="2" width="17" style="10" customWidth="1"/>
    <col min="3" max="3" width="21.6640625" style="10" bestFit="1" customWidth="1"/>
    <col min="4" max="4" width="10.83203125" style="10"/>
    <col min="5" max="5" width="24.83203125" style="10" customWidth="1"/>
    <col min="6" max="11" width="10.83203125" style="14"/>
    <col min="12" max="12" width="19.6640625" style="14" customWidth="1"/>
    <col min="13" max="16384" width="10.83203125" style="14"/>
  </cols>
  <sheetData>
    <row r="1" spans="1:14">
      <c r="A1" s="10" t="s">
        <v>0</v>
      </c>
      <c r="B1" s="9" t="s">
        <v>112</v>
      </c>
      <c r="C1" s="10" t="s">
        <v>108</v>
      </c>
      <c r="D1" s="10" t="s">
        <v>109</v>
      </c>
      <c r="E1" s="9" t="s">
        <v>4</v>
      </c>
    </row>
    <row r="2" spans="1:14">
      <c r="A2" s="10" t="s">
        <v>107</v>
      </c>
      <c r="B2" s="9" t="s">
        <v>105</v>
      </c>
      <c r="C2" s="10" t="s">
        <v>104</v>
      </c>
      <c r="D2" s="10" t="s">
        <v>102</v>
      </c>
      <c r="E2" s="10" t="s">
        <v>106</v>
      </c>
    </row>
    <row r="3" spans="1:14">
      <c r="A3" s="10" t="s">
        <v>69</v>
      </c>
      <c r="B3" s="14">
        <v>8.7754675202325796</v>
      </c>
      <c r="C3" s="10">
        <v>7334.46</v>
      </c>
      <c r="D3" s="10">
        <v>61.955119427962899</v>
      </c>
      <c r="E3" s="9">
        <v>4.9712140388017599E-2</v>
      </c>
    </row>
    <row r="4" spans="1:14">
      <c r="A4" s="10" t="s">
        <v>70</v>
      </c>
      <c r="B4" s="14">
        <v>0.29252235051385317</v>
      </c>
      <c r="C4" s="10">
        <v>89.47</v>
      </c>
      <c r="D4" s="21">
        <v>99.594893199116129</v>
      </c>
      <c r="E4" s="9">
        <v>0.11320072519367995</v>
      </c>
      <c r="H4" s="19"/>
      <c r="I4" s="19"/>
      <c r="J4" s="19"/>
      <c r="N4" s="19"/>
    </row>
    <row r="5" spans="1:14">
      <c r="A5" s="10" t="s">
        <v>71</v>
      </c>
      <c r="B5" s="14">
        <v>2.8223667204715022</v>
      </c>
      <c r="C5" s="10">
        <v>2025.93</v>
      </c>
      <c r="D5" s="10">
        <v>41.559481240326626</v>
      </c>
      <c r="E5" s="9">
        <v>6.6795211552632738E-2</v>
      </c>
    </row>
    <row r="6" spans="1:14">
      <c r="A6" s="10" t="s">
        <v>74</v>
      </c>
      <c r="B6" s="14">
        <v>2.3796328244049629</v>
      </c>
      <c r="C6" s="10">
        <v>841.1</v>
      </c>
      <c r="D6" s="10">
        <v>5.6727238489784382</v>
      </c>
      <c r="E6" s="9">
        <v>0.10757041243188108</v>
      </c>
    </row>
    <row r="7" spans="1:14">
      <c r="A7" s="10" t="s">
        <v>72</v>
      </c>
      <c r="B7" s="14">
        <v>2.8075162199240138</v>
      </c>
      <c r="C7" s="10">
        <v>2710.93</v>
      </c>
      <c r="D7" s="10">
        <v>99.87565228251367</v>
      </c>
      <c r="E7" s="9">
        <v>3.4754226610080735E-2</v>
      </c>
    </row>
    <row r="8" spans="1:14">
      <c r="A8" s="10" t="s">
        <v>75</v>
      </c>
      <c r="B8" s="14">
        <v>5.1061753482587537</v>
      </c>
      <c r="C8" s="10">
        <v>2229.5100000000002</v>
      </c>
      <c r="D8" s="10">
        <v>6.8638842174998729</v>
      </c>
      <c r="E8" s="9">
        <v>9.0957416898465204E-2</v>
      </c>
    </row>
    <row r="9" spans="1:14">
      <c r="A9" s="10" t="s">
        <v>76</v>
      </c>
      <c r="B9" s="14">
        <v>4.9321225003280578</v>
      </c>
      <c r="C9" s="10">
        <v>2834.72</v>
      </c>
      <c r="D9" s="10">
        <v>26.076880447377697</v>
      </c>
      <c r="E9" s="9">
        <v>7.0415053163522784E-2</v>
      </c>
    </row>
    <row r="10" spans="1:14">
      <c r="A10" s="10" t="s">
        <v>77</v>
      </c>
      <c r="B10" s="14">
        <v>2.4361586974532159</v>
      </c>
      <c r="C10" s="10">
        <v>2773.8</v>
      </c>
      <c r="D10" s="10">
        <v>58.164277276240753</v>
      </c>
      <c r="E10" s="9">
        <v>3.9188721262240829E-2</v>
      </c>
    </row>
    <row r="11" spans="1:14">
      <c r="A11" s="10" t="s">
        <v>78</v>
      </c>
      <c r="B11" s="14">
        <v>0.96327186938434695</v>
      </c>
      <c r="C11" s="10">
        <v>273.58999999999997</v>
      </c>
      <c r="D11" s="10">
        <v>0</v>
      </c>
      <c r="E11" s="9">
        <v>0.19412469190549339</v>
      </c>
    </row>
    <row r="12" spans="1:14">
      <c r="A12" s="10" t="s">
        <v>79</v>
      </c>
      <c r="B12" s="14">
        <v>10.534800332930701</v>
      </c>
      <c r="C12" s="10">
        <v>6455.19</v>
      </c>
      <c r="D12" s="10">
        <v>98.724884616719294</v>
      </c>
      <c r="E12" s="9">
        <v>5.4134292037378191E-2</v>
      </c>
    </row>
    <row r="13" spans="1:14">
      <c r="A13" s="10" t="s">
        <v>80</v>
      </c>
      <c r="B13" s="14">
        <v>13.408607302815932</v>
      </c>
      <c r="C13" s="10">
        <v>14743.09</v>
      </c>
      <c r="D13" s="21">
        <v>66.440509510716112</v>
      </c>
      <c r="E13" s="9">
        <v>3.3722945434491121E-2</v>
      </c>
      <c r="I13" s="19"/>
      <c r="N13" s="19"/>
    </row>
    <row r="14" spans="1:14">
      <c r="A14" s="10" t="s">
        <v>81</v>
      </c>
      <c r="B14" s="14">
        <v>21.459619831233443</v>
      </c>
      <c r="C14" s="10">
        <v>10785.29</v>
      </c>
      <c r="D14" s="10">
        <v>94.174746750627875</v>
      </c>
      <c r="E14" s="9">
        <v>6.7021847849180652E-2</v>
      </c>
      <c r="H14" s="19"/>
      <c r="J14" s="19"/>
    </row>
    <row r="15" spans="1:14">
      <c r="A15" s="10" t="s">
        <v>82</v>
      </c>
      <c r="B15" s="14">
        <v>7.3734062318024183</v>
      </c>
      <c r="C15" s="10">
        <v>4706.97</v>
      </c>
      <c r="D15" s="10">
        <v>44.231396446656937</v>
      </c>
      <c r="E15" s="9">
        <v>6.2346891401811107E-2</v>
      </c>
    </row>
    <row r="16" spans="1:14">
      <c r="A16" s="10" t="s">
        <v>83</v>
      </c>
      <c r="B16" s="14">
        <v>5.5416408703768489</v>
      </c>
      <c r="C16" s="10">
        <v>4763.4799999999996</v>
      </c>
      <c r="D16" s="10">
        <v>9.8175096591700992</v>
      </c>
      <c r="E16" s="9">
        <v>4.5743624529648579E-2</v>
      </c>
    </row>
    <row r="17" spans="1:14">
      <c r="A17" s="10" t="s">
        <v>84</v>
      </c>
      <c r="B17" s="14">
        <v>6.9279062373845104</v>
      </c>
      <c r="C17" s="10">
        <v>6984.73</v>
      </c>
      <c r="D17" s="10">
        <v>97.838490831037788</v>
      </c>
      <c r="E17" s="9">
        <v>3.4358171286213941E-2</v>
      </c>
    </row>
    <row r="18" spans="1:14">
      <c r="A18" s="10" t="s">
        <v>85</v>
      </c>
      <c r="B18" s="14">
        <v>9.7129209151631191</v>
      </c>
      <c r="C18" s="10">
        <v>5458.94</v>
      </c>
      <c r="D18" s="10">
        <v>56.440766055090855</v>
      </c>
      <c r="E18" s="9">
        <v>7.224852578947713E-2</v>
      </c>
    </row>
    <row r="19" spans="1:14">
      <c r="A19" s="10" t="s">
        <v>86</v>
      </c>
      <c r="B19" s="14">
        <v>2.4079595436642505</v>
      </c>
      <c r="C19" s="10">
        <v>3774.29</v>
      </c>
      <c r="D19" s="10">
        <v>2.0791554895781785</v>
      </c>
      <c r="E19" s="9">
        <v>2.5553439402960784E-2</v>
      </c>
    </row>
    <row r="20" spans="1:14">
      <c r="A20" s="10" t="s">
        <v>87</v>
      </c>
      <c r="B20" s="14">
        <v>9.2637572206152026</v>
      </c>
      <c r="C20" s="10">
        <v>5825.61</v>
      </c>
      <c r="D20" s="10">
        <v>84.589009893810285</v>
      </c>
      <c r="E20" s="9">
        <v>5.84495027314385E-2</v>
      </c>
      <c r="H20" s="19"/>
    </row>
    <row r="21" spans="1:14">
      <c r="A21" s="10" t="s">
        <v>88</v>
      </c>
      <c r="B21" s="14">
        <v>7.0846322868217886</v>
      </c>
      <c r="C21" s="10">
        <v>3578.39</v>
      </c>
      <c r="D21" s="10">
        <v>84.863671420146076</v>
      </c>
      <c r="E21" s="9">
        <v>7.3293646203890422E-2</v>
      </c>
    </row>
    <row r="22" spans="1:14">
      <c r="A22" s="10" t="s">
        <v>89</v>
      </c>
      <c r="B22" s="14">
        <v>1.2107377461739792</v>
      </c>
      <c r="C22" s="10">
        <v>693.89</v>
      </c>
      <c r="D22" s="10">
        <v>95.801510788364425</v>
      </c>
      <c r="E22" s="9">
        <v>6.0213086629161867E-2</v>
      </c>
    </row>
    <row r="23" spans="1:14">
      <c r="A23" s="10" t="s">
        <v>90</v>
      </c>
      <c r="B23" s="14">
        <v>0.27446771050253921</v>
      </c>
      <c r="C23" s="10">
        <v>304.89999999999998</v>
      </c>
      <c r="D23" s="10">
        <v>100</v>
      </c>
      <c r="E23" s="9">
        <v>3.1202013191000043E-2</v>
      </c>
    </row>
    <row r="24" spans="1:14">
      <c r="A24" s="10" t="s">
        <v>91</v>
      </c>
      <c r="B24" s="14">
        <v>6.0624115740718381</v>
      </c>
      <c r="C24" s="10">
        <v>3022.97</v>
      </c>
      <c r="D24" s="10">
        <v>95.332076039702144</v>
      </c>
      <c r="E24" s="9">
        <v>6.9589159176085755E-2</v>
      </c>
      <c r="J24" s="19"/>
    </row>
    <row r="25" spans="1:14">
      <c r="A25" s="10" t="s">
        <v>92</v>
      </c>
      <c r="B25" s="14">
        <v>14.390716794265884</v>
      </c>
      <c r="C25" s="10">
        <v>8387.9</v>
      </c>
      <c r="D25" s="21">
        <v>98.735941874099751</v>
      </c>
      <c r="E25" s="9">
        <v>5.6108345552395432E-2</v>
      </c>
      <c r="I25" s="19"/>
      <c r="N25" s="19"/>
    </row>
    <row r="26" spans="1:14">
      <c r="A26" s="10" t="s">
        <v>93</v>
      </c>
      <c r="B26" s="14">
        <v>0.23026438443707109</v>
      </c>
      <c r="C26" s="10">
        <v>127.17</v>
      </c>
      <c r="D26" s="10">
        <v>15.683581124757598</v>
      </c>
      <c r="E26" s="9">
        <v>7.6766153139745108E-2</v>
      </c>
      <c r="J26" s="19"/>
      <c r="K26" s="19"/>
    </row>
    <row r="27" spans="1:14">
      <c r="A27" s="10" t="s">
        <v>94</v>
      </c>
      <c r="B27" s="14">
        <v>3.3118990645121906</v>
      </c>
      <c r="C27" s="10">
        <v>3160.96</v>
      </c>
      <c r="D27" s="10">
        <v>99.90715417029017</v>
      </c>
      <c r="E27" s="9">
        <v>3.4996612384486488E-2</v>
      </c>
    </row>
    <row r="28" spans="1:14">
      <c r="A28" s="10" t="s">
        <v>95</v>
      </c>
      <c r="B28" s="14">
        <v>7.8108987202422897</v>
      </c>
      <c r="C28" s="10">
        <v>6403.97</v>
      </c>
      <c r="D28" s="10">
        <v>57.130244877096793</v>
      </c>
      <c r="E28" s="9">
        <v>4.7316221693710997E-2</v>
      </c>
    </row>
    <row r="29" spans="1:14">
      <c r="A29" s="10" t="s">
        <v>96</v>
      </c>
      <c r="B29" s="14">
        <v>0.59565338398593981</v>
      </c>
      <c r="C29" s="10">
        <v>390.03</v>
      </c>
      <c r="D29" s="10">
        <v>85.469394355947287</v>
      </c>
      <c r="E29" s="9">
        <v>5.2816538454256573E-2</v>
      </c>
      <c r="J29" s="19"/>
    </row>
    <row r="30" spans="1:14">
      <c r="A30" s="10" t="s">
        <v>61</v>
      </c>
      <c r="B30" s="14">
        <v>0.11071966003784414</v>
      </c>
      <c r="C30" s="10">
        <v>194.58</v>
      </c>
      <c r="D30" s="10">
        <v>97.779499096307774</v>
      </c>
      <c r="E30" s="9">
        <v>2.906919889132821E-2</v>
      </c>
    </row>
    <row r="31" spans="1:14">
      <c r="A31" s="10" t="s">
        <v>97</v>
      </c>
      <c r="B31" s="14">
        <v>5.9011102851911836</v>
      </c>
      <c r="C31" s="10">
        <v>2824.76</v>
      </c>
      <c r="D31" s="21">
        <v>98.524118472527761</v>
      </c>
      <c r="E31" s="9">
        <v>7.2853127528349354E-2</v>
      </c>
      <c r="I31" s="19"/>
      <c r="J31" s="19"/>
      <c r="N31" s="19"/>
    </row>
    <row r="32" spans="1:14">
      <c r="A32" s="10" t="s">
        <v>65</v>
      </c>
      <c r="B32" s="14">
        <v>5.0590173256264865</v>
      </c>
      <c r="C32" s="10">
        <v>4243.22</v>
      </c>
      <c r="D32" s="10">
        <v>76.298746324957008</v>
      </c>
      <c r="E32" s="9">
        <v>4.0808764172001348E-2</v>
      </c>
    </row>
    <row r="33" spans="1:5">
      <c r="A33" s="10" t="s">
        <v>67</v>
      </c>
      <c r="B33" s="14">
        <v>2.1612952589328684</v>
      </c>
      <c r="C33" s="10">
        <v>1024.68</v>
      </c>
      <c r="D33" s="10">
        <v>21.770995310936726</v>
      </c>
      <c r="E33" s="9">
        <v>8.55869802447696E-2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FF31-43FD-CA47-8BF1-94BF9BB2068D}">
  <dimension ref="A1:N33"/>
  <sheetViews>
    <sheetView workbookViewId="0">
      <selection activeCell="G33" sqref="G33"/>
    </sheetView>
  </sheetViews>
  <sheetFormatPr baseColWidth="10" defaultRowHeight="16"/>
  <cols>
    <col min="1" max="2" width="10.83203125" style="4"/>
    <col min="3" max="3" width="21.6640625" style="4" bestFit="1" customWidth="1"/>
    <col min="4" max="4" width="10.83203125" style="4"/>
    <col min="5" max="5" width="24.83203125" style="4" customWidth="1"/>
    <col min="6" max="11" width="10.83203125" style="6"/>
    <col min="12" max="12" width="19.6640625" style="6" customWidth="1"/>
    <col min="13" max="16384" width="10.83203125" style="6"/>
  </cols>
  <sheetData>
    <row r="1" spans="1:14">
      <c r="A1" s="4" t="s">
        <v>0</v>
      </c>
      <c r="B1" s="5" t="s">
        <v>113</v>
      </c>
      <c r="C1" s="4" t="s">
        <v>2</v>
      </c>
      <c r="D1" s="4" t="s">
        <v>100</v>
      </c>
      <c r="E1" s="5" t="s">
        <v>4</v>
      </c>
    </row>
    <row r="2" spans="1:14">
      <c r="A2" s="4" t="s">
        <v>5</v>
      </c>
      <c r="B2" s="5" t="s">
        <v>105</v>
      </c>
      <c r="C2" s="4" t="s">
        <v>103</v>
      </c>
      <c r="D2" s="4" t="s">
        <v>101</v>
      </c>
      <c r="E2" s="5" t="s">
        <v>106</v>
      </c>
    </row>
    <row r="3" spans="1:14">
      <c r="A3" s="4" t="s">
        <v>7</v>
      </c>
      <c r="B3">
        <v>39.918020495417267</v>
      </c>
      <c r="C3" s="4">
        <v>7334.46</v>
      </c>
      <c r="D3" s="4">
        <v>61.955119427962899</v>
      </c>
      <c r="E3" s="5">
        <v>1.6642456517978684E-2</v>
      </c>
      <c r="F3"/>
    </row>
    <row r="4" spans="1:14">
      <c r="A4" s="4" t="s">
        <v>9</v>
      </c>
      <c r="B4">
        <v>5.7883733533298026E-4</v>
      </c>
      <c r="C4" s="4">
        <v>89.47</v>
      </c>
      <c r="D4" s="7">
        <v>99.594893199116129</v>
      </c>
      <c r="E4" s="5">
        <v>2.0364789799288402E-4</v>
      </c>
      <c r="F4"/>
      <c r="H4" s="8"/>
      <c r="I4" s="8"/>
      <c r="J4" s="8"/>
      <c r="N4" s="8"/>
    </row>
    <row r="5" spans="1:14">
      <c r="A5" s="4" t="s">
        <v>11</v>
      </c>
      <c r="B5">
        <v>7.2826396719761552</v>
      </c>
      <c r="C5" s="4">
        <v>2025.93</v>
      </c>
      <c r="D5" s="4">
        <v>41.559481240326626</v>
      </c>
      <c r="E5" s="5">
        <v>1.2996013280329047E-2</v>
      </c>
      <c r="F5"/>
    </row>
    <row r="6" spans="1:14">
      <c r="A6" s="4" t="s">
        <v>13</v>
      </c>
      <c r="B6">
        <v>4.9011241717636702</v>
      </c>
      <c r="C6" s="4">
        <v>841.1</v>
      </c>
      <c r="D6" s="4">
        <v>5.6727238489784382</v>
      </c>
      <c r="E6" s="5">
        <v>2.0615231006712722E-2</v>
      </c>
      <c r="F6"/>
    </row>
    <row r="7" spans="1:14">
      <c r="A7" s="4" t="s">
        <v>15</v>
      </c>
      <c r="B7">
        <v>1.7343953636444621E-2</v>
      </c>
      <c r="C7" s="4">
        <v>2710.93</v>
      </c>
      <c r="D7" s="4">
        <v>99.87565228251367</v>
      </c>
      <c r="E7" s="5">
        <v>5.3046084546547253E-5</v>
      </c>
      <c r="F7"/>
    </row>
    <row r="8" spans="1:14">
      <c r="A8" s="4" t="s">
        <v>17</v>
      </c>
      <c r="B8">
        <v>19.833170470785301</v>
      </c>
      <c r="C8" s="4">
        <v>2229.5100000000002</v>
      </c>
      <c r="D8" s="4">
        <v>6.8638842174998729</v>
      </c>
      <c r="E8" s="5">
        <v>2.0782164146623459E-2</v>
      </c>
      <c r="F8"/>
    </row>
    <row r="9" spans="1:14">
      <c r="A9" s="4" t="s">
        <v>19</v>
      </c>
      <c r="B9">
        <v>17.733690784992106</v>
      </c>
      <c r="C9" s="4">
        <v>2834.72</v>
      </c>
      <c r="D9" s="4">
        <v>26.076880447377697</v>
      </c>
      <c r="E9" s="5">
        <v>1.9331043260294122E-2</v>
      </c>
      <c r="F9"/>
    </row>
    <row r="10" spans="1:14">
      <c r="A10" s="4" t="s">
        <v>21</v>
      </c>
      <c r="B10">
        <v>6.0158338481056068</v>
      </c>
      <c r="C10" s="4">
        <v>2773.8</v>
      </c>
      <c r="D10" s="4">
        <v>58.164277276240753</v>
      </c>
      <c r="E10" s="5">
        <v>1.1070543991455952E-2</v>
      </c>
      <c r="F10"/>
    </row>
    <row r="11" spans="1:14">
      <c r="A11" s="4" t="s">
        <v>23</v>
      </c>
      <c r="B11">
        <v>2.38022410055058</v>
      </c>
      <c r="C11" s="4">
        <v>273.58999999999997</v>
      </c>
      <c r="D11" s="4">
        <v>0</v>
      </c>
      <c r="E11" s="5">
        <v>2.2378968270983547E-2</v>
      </c>
      <c r="F11"/>
    </row>
    <row r="12" spans="1:14">
      <c r="A12" s="4" t="s">
        <v>25</v>
      </c>
      <c r="B12">
        <v>7.5340405456350387E-2</v>
      </c>
      <c r="C12" s="4">
        <v>6455.19</v>
      </c>
      <c r="D12" s="4">
        <v>98.724884616719294</v>
      </c>
      <c r="E12" s="5">
        <v>5.6875408395013524E-4</v>
      </c>
      <c r="F12"/>
    </row>
    <row r="13" spans="1:14">
      <c r="A13" s="4" t="s">
        <v>27</v>
      </c>
      <c r="B13">
        <v>73.90093776778059</v>
      </c>
      <c r="C13" s="4">
        <v>14743.09</v>
      </c>
      <c r="D13" s="7">
        <v>66.440509510716112</v>
      </c>
      <c r="E13" s="5">
        <v>1.2254361215148158E-2</v>
      </c>
      <c r="F13"/>
      <c r="I13" s="8"/>
      <c r="N13" s="8"/>
    </row>
    <row r="14" spans="1:14">
      <c r="A14" s="4" t="s">
        <v>29</v>
      </c>
      <c r="B14">
        <v>8.8652740457638792</v>
      </c>
      <c r="C14" s="4">
        <v>10785.29</v>
      </c>
      <c r="D14" s="4">
        <v>94.174746750627875</v>
      </c>
      <c r="E14" s="5">
        <v>2.2465872478839174E-3</v>
      </c>
      <c r="F14"/>
      <c r="H14" s="8"/>
      <c r="J14" s="8"/>
    </row>
    <row r="15" spans="1:14">
      <c r="A15" s="4" t="s">
        <v>31</v>
      </c>
      <c r="B15">
        <v>33.83864204219973</v>
      </c>
      <c r="C15" s="4">
        <v>4706.97</v>
      </c>
      <c r="D15" s="4">
        <v>44.231396446656937</v>
      </c>
      <c r="E15" s="5">
        <v>2.2572490356442824E-2</v>
      </c>
      <c r="F15"/>
    </row>
    <row r="16" spans="1:14">
      <c r="A16" s="4" t="s">
        <v>33</v>
      </c>
      <c r="B16">
        <v>38.85324368788558</v>
      </c>
      <c r="C16" s="4">
        <v>4763.4799999999996</v>
      </c>
      <c r="D16" s="4">
        <v>9.8175096591700992</v>
      </c>
      <c r="E16" s="5">
        <v>2.0816584563956114E-2</v>
      </c>
      <c r="F16"/>
    </row>
    <row r="17" spans="1:14">
      <c r="A17" s="4" t="s">
        <v>35</v>
      </c>
      <c r="B17">
        <v>2.9733722623491472</v>
      </c>
      <c r="C17" s="4">
        <v>6984.73</v>
      </c>
      <c r="D17" s="4">
        <v>97.838490831037788</v>
      </c>
      <c r="E17" s="5">
        <v>7.7047479744542452E-4</v>
      </c>
      <c r="F17"/>
    </row>
    <row r="18" spans="1:14">
      <c r="A18" s="4" t="s">
        <v>37</v>
      </c>
      <c r="B18">
        <v>37.442185413879855</v>
      </c>
      <c r="C18" s="4">
        <v>5458.94</v>
      </c>
      <c r="D18" s="4">
        <v>56.440766055090855</v>
      </c>
      <c r="E18" s="5">
        <v>1.4409848523620195E-2</v>
      </c>
      <c r="F18"/>
    </row>
    <row r="19" spans="1:14">
      <c r="A19" s="4" t="s">
        <v>39</v>
      </c>
      <c r="B19">
        <v>36.964930503449203</v>
      </c>
      <c r="C19" s="4">
        <v>3774.29</v>
      </c>
      <c r="D19" s="4">
        <v>2.0791554895781785</v>
      </c>
      <c r="E19" s="5">
        <v>2.5914794888235053E-2</v>
      </c>
      <c r="F19"/>
    </row>
    <row r="20" spans="1:14">
      <c r="A20" s="4" t="s">
        <v>41</v>
      </c>
      <c r="B20">
        <v>15.695353276908648</v>
      </c>
      <c r="C20" s="4">
        <v>5825.61</v>
      </c>
      <c r="D20" s="4">
        <v>84.589009893810285</v>
      </c>
      <c r="E20" s="5">
        <v>5.7807503101921908E-3</v>
      </c>
      <c r="F20"/>
      <c r="H20" s="8"/>
    </row>
    <row r="21" spans="1:14">
      <c r="A21" s="4" t="s">
        <v>43</v>
      </c>
      <c r="B21">
        <v>8.9160895512490157</v>
      </c>
      <c r="C21" s="4">
        <v>3578.39</v>
      </c>
      <c r="D21" s="4">
        <v>84.863671420146076</v>
      </c>
      <c r="E21" s="5">
        <v>5.7006985448150096E-3</v>
      </c>
      <c r="F21"/>
    </row>
    <row r="22" spans="1:14">
      <c r="A22" s="4" t="s">
        <v>45</v>
      </c>
      <c r="B22">
        <v>1.06772510064468</v>
      </c>
      <c r="C22" s="4">
        <v>693.89</v>
      </c>
      <c r="D22" s="4">
        <v>95.801510788364425</v>
      </c>
      <c r="E22" s="5">
        <v>1.5661384188500529E-3</v>
      </c>
      <c r="F22"/>
    </row>
    <row r="23" spans="1:14">
      <c r="A23" s="4" t="s">
        <v>47</v>
      </c>
      <c r="B23">
        <v>6.806067710778879E-4</v>
      </c>
      <c r="C23" s="4">
        <v>304.89999999999998</v>
      </c>
      <c r="D23" s="4">
        <v>100</v>
      </c>
      <c r="E23" s="5">
        <v>0</v>
      </c>
      <c r="F23"/>
    </row>
    <row r="24" spans="1:14">
      <c r="A24" s="4" t="s">
        <v>49</v>
      </c>
      <c r="B24">
        <v>1.1239091946725712</v>
      </c>
      <c r="C24" s="4">
        <v>3022.97</v>
      </c>
      <c r="D24" s="4">
        <v>95.332076039702144</v>
      </c>
      <c r="E24" s="5">
        <v>2.3487732360310048E-3</v>
      </c>
      <c r="F24"/>
      <c r="J24" s="8"/>
    </row>
    <row r="25" spans="1:14">
      <c r="A25" s="4" t="s">
        <v>51</v>
      </c>
      <c r="B25">
        <v>1.8360533695986589</v>
      </c>
      <c r="C25" s="4">
        <v>8387.9</v>
      </c>
      <c r="D25" s="7">
        <v>98.735941874099751</v>
      </c>
      <c r="E25" s="5">
        <v>4.4995371677144212E-4</v>
      </c>
      <c r="F25"/>
      <c r="I25" s="8"/>
      <c r="N25" s="8"/>
    </row>
    <row r="26" spans="1:14">
      <c r="A26" s="4" t="s">
        <v>53</v>
      </c>
      <c r="B26">
        <v>1.1876835400045826</v>
      </c>
      <c r="C26" s="4">
        <v>127.17</v>
      </c>
      <c r="D26" s="4">
        <v>15.683581124757598</v>
      </c>
      <c r="E26" s="5">
        <v>2.5241571061231094E-2</v>
      </c>
      <c r="F26"/>
      <c r="J26" s="8"/>
      <c r="K26" s="8"/>
    </row>
    <row r="27" spans="1:14">
      <c r="A27" s="4" t="s">
        <v>55</v>
      </c>
      <c r="B27">
        <v>2.2110723319606358E-2</v>
      </c>
      <c r="C27" s="4">
        <v>3160.96</v>
      </c>
      <c r="D27" s="4">
        <v>99.90715417029017</v>
      </c>
      <c r="E27" s="5">
        <v>4.4086287875366175E-5</v>
      </c>
      <c r="F27"/>
    </row>
    <row r="28" spans="1:14">
      <c r="A28" s="4" t="s">
        <v>57</v>
      </c>
      <c r="B28">
        <v>22.352009297583415</v>
      </c>
      <c r="C28" s="4">
        <v>6403.97</v>
      </c>
      <c r="D28" s="4">
        <v>57.130244877096793</v>
      </c>
      <c r="E28" s="5">
        <v>1.1093404229110457E-2</v>
      </c>
      <c r="F28"/>
    </row>
    <row r="29" spans="1:14">
      <c r="A29" s="4" t="s">
        <v>59</v>
      </c>
      <c r="B29">
        <v>4.2180261896406085E-3</v>
      </c>
      <c r="C29" s="4">
        <v>390.03</v>
      </c>
      <c r="D29" s="4">
        <v>85.469394355947287</v>
      </c>
      <c r="E29" s="5">
        <v>6.2158394788828049E-3</v>
      </c>
      <c r="F29"/>
      <c r="J29" s="8"/>
    </row>
    <row r="30" spans="1:14">
      <c r="A30" s="4" t="s">
        <v>61</v>
      </c>
      <c r="B30">
        <v>1.599087481408539E-4</v>
      </c>
      <c r="C30" s="4">
        <v>194.58</v>
      </c>
      <c r="D30" s="4">
        <v>97.779499096307774</v>
      </c>
      <c r="E30" s="5">
        <v>1.2801014450261781E-4</v>
      </c>
      <c r="F30"/>
    </row>
    <row r="31" spans="1:14">
      <c r="A31" s="4" t="s">
        <v>63</v>
      </c>
      <c r="B31">
        <v>1.2190739558232137E-2</v>
      </c>
      <c r="C31" s="4">
        <v>2824.76</v>
      </c>
      <c r="D31" s="7">
        <v>98.524118472527761</v>
      </c>
      <c r="E31" s="5">
        <v>5.5168551468058092E-4</v>
      </c>
      <c r="F31"/>
      <c r="I31" s="8"/>
      <c r="J31" s="8"/>
      <c r="N31" s="8"/>
    </row>
    <row r="32" spans="1:14">
      <c r="A32" s="4" t="s">
        <v>65</v>
      </c>
      <c r="B32">
        <v>6.6471188987390253</v>
      </c>
      <c r="C32" s="4">
        <v>4243.22</v>
      </c>
      <c r="D32" s="4">
        <v>76.298746324957008</v>
      </c>
      <c r="E32" s="5">
        <v>7.4823509540297862E-3</v>
      </c>
      <c r="F32"/>
    </row>
    <row r="33" spans="1:6">
      <c r="A33" s="4" t="s">
        <v>67</v>
      </c>
      <c r="B33">
        <v>6.8359483357800439</v>
      </c>
      <c r="C33" s="4">
        <v>1024.68</v>
      </c>
      <c r="D33" s="4">
        <v>21.770995310936726</v>
      </c>
      <c r="E33" s="5">
        <v>2.0692839067026722E-2</v>
      </c>
      <c r="F3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273E-C207-7746-80B1-CE00C6636DC1}">
  <dimension ref="A1:E33"/>
  <sheetViews>
    <sheetView tabSelected="1" workbookViewId="0">
      <selection activeCell="J27" sqref="J27"/>
    </sheetView>
  </sheetViews>
  <sheetFormatPr baseColWidth="10" defaultRowHeight="16"/>
  <cols>
    <col min="1" max="16384" width="10.83203125" style="11"/>
  </cols>
  <sheetData>
    <row r="1" spans="1:5">
      <c r="A1" s="11" t="s">
        <v>0</v>
      </c>
      <c r="B1" s="11" t="s">
        <v>114</v>
      </c>
      <c r="C1" s="11" t="s">
        <v>2</v>
      </c>
      <c r="D1" s="11" t="s">
        <v>100</v>
      </c>
      <c r="E1" s="11" t="s">
        <v>4</v>
      </c>
    </row>
    <row r="2" spans="1:5">
      <c r="A2" s="11" t="s">
        <v>5</v>
      </c>
      <c r="B2" s="11" t="s">
        <v>105</v>
      </c>
      <c r="C2" s="11" t="s">
        <v>103</v>
      </c>
      <c r="D2" s="11" t="s">
        <v>101</v>
      </c>
      <c r="E2" s="11" t="s">
        <v>106</v>
      </c>
    </row>
    <row r="3" spans="1:5">
      <c r="A3" s="11" t="s">
        <v>7</v>
      </c>
      <c r="B3">
        <v>18.064235568014361</v>
      </c>
      <c r="C3" s="11">
        <v>7334.46</v>
      </c>
      <c r="D3" s="11">
        <v>61.955119427962899</v>
      </c>
      <c r="E3" s="11">
        <v>0.24679882850061927</v>
      </c>
    </row>
    <row r="4" spans="1:5">
      <c r="A4" s="11" t="s">
        <v>9</v>
      </c>
      <c r="B4">
        <v>0.39380616513717631</v>
      </c>
      <c r="C4" s="11">
        <v>89.47</v>
      </c>
      <c r="D4" s="11">
        <v>99.594893199116129</v>
      </c>
      <c r="E4" s="11">
        <v>0.49137238320095472</v>
      </c>
    </row>
    <row r="5" spans="1:5">
      <c r="A5" s="11" t="s">
        <v>11</v>
      </c>
      <c r="B5">
        <v>2.0117011434536329</v>
      </c>
      <c r="C5" s="11">
        <v>2025.93</v>
      </c>
      <c r="D5" s="11">
        <v>41.559481240326626</v>
      </c>
      <c r="E5" s="11">
        <v>9.9181313892104855E-2</v>
      </c>
    </row>
    <row r="6" spans="1:5">
      <c r="A6" s="11" t="s">
        <v>13</v>
      </c>
      <c r="B6">
        <v>1.264887599939152</v>
      </c>
      <c r="C6" s="11">
        <v>841.1</v>
      </c>
      <c r="D6" s="11">
        <v>5.6727238489784382</v>
      </c>
      <c r="E6" s="11">
        <v>0.16129658957838663</v>
      </c>
    </row>
    <row r="7" spans="1:5">
      <c r="A7" s="11" t="s">
        <v>15</v>
      </c>
      <c r="B7">
        <v>6.9574579554963529</v>
      </c>
      <c r="C7" s="11">
        <v>2710.93</v>
      </c>
      <c r="D7" s="11">
        <v>99.87565228251367</v>
      </c>
      <c r="E7" s="11">
        <v>0.25588912628826216</v>
      </c>
    </row>
    <row r="8" spans="1:5">
      <c r="A8" s="11" t="s">
        <v>17</v>
      </c>
      <c r="B8">
        <v>4.0343838435018213</v>
      </c>
      <c r="C8" s="11">
        <v>2229.5100000000002</v>
      </c>
      <c r="D8" s="11">
        <v>6.8638842174998729</v>
      </c>
      <c r="E8" s="11">
        <v>0.18009304298854217</v>
      </c>
    </row>
    <row r="9" spans="1:5">
      <c r="A9" s="11" t="s">
        <v>19</v>
      </c>
      <c r="B9">
        <v>5.8171364869304663</v>
      </c>
      <c r="C9" s="11">
        <v>2834.72</v>
      </c>
      <c r="D9" s="11">
        <v>26.076880447377697</v>
      </c>
      <c r="E9" s="11">
        <v>0.19901229601386497</v>
      </c>
    </row>
    <row r="10" spans="1:5">
      <c r="A10" s="11" t="s">
        <v>21</v>
      </c>
      <c r="B10">
        <v>2.9348574887960144</v>
      </c>
      <c r="C10" s="11">
        <v>2773.8</v>
      </c>
      <c r="D10" s="11">
        <v>58.164277276240753</v>
      </c>
      <c r="E10" s="11">
        <v>0.1017458101332334</v>
      </c>
    </row>
    <row r="11" spans="1:5">
      <c r="A11" s="11" t="s">
        <v>23</v>
      </c>
      <c r="B11">
        <v>0.74625796498034003</v>
      </c>
      <c r="C11" s="11">
        <v>273.58999999999997</v>
      </c>
      <c r="D11" s="11">
        <v>0</v>
      </c>
      <c r="E11" s="11">
        <v>0.26779153259483585</v>
      </c>
    </row>
    <row r="12" spans="1:5">
      <c r="A12" s="11" t="s">
        <v>25</v>
      </c>
      <c r="B12">
        <v>27.671992282047007</v>
      </c>
      <c r="C12" s="11">
        <v>6455.19</v>
      </c>
      <c r="D12" s="11">
        <v>98.724884616719294</v>
      </c>
      <c r="E12" s="11">
        <v>0.43768419023491784</v>
      </c>
    </row>
    <row r="13" spans="1:5">
      <c r="A13" s="11" t="s">
        <v>27</v>
      </c>
      <c r="B13">
        <v>21.202822939152369</v>
      </c>
      <c r="C13" s="11">
        <v>14743.09</v>
      </c>
      <c r="D13" s="11">
        <v>66.440509510716112</v>
      </c>
      <c r="E13" s="11">
        <v>0.14248366680772404</v>
      </c>
    </row>
    <row r="14" spans="1:5">
      <c r="A14" s="11" t="s">
        <v>29</v>
      </c>
      <c r="B14">
        <v>39.590156827992317</v>
      </c>
      <c r="C14" s="11">
        <v>10785.29</v>
      </c>
      <c r="D14" s="11">
        <v>94.174746750627875</v>
      </c>
      <c r="E14" s="11">
        <v>0.36839915019284997</v>
      </c>
    </row>
    <row r="15" spans="1:5">
      <c r="A15" s="11" t="s">
        <v>31</v>
      </c>
      <c r="B15">
        <v>11.688841507043589</v>
      </c>
      <c r="C15" s="11">
        <v>4706.97</v>
      </c>
      <c r="D15" s="11">
        <v>44.231396446656937</v>
      </c>
      <c r="E15" s="11">
        <v>0.24932420153463056</v>
      </c>
    </row>
    <row r="16" spans="1:5">
      <c r="A16" s="11" t="s">
        <v>33</v>
      </c>
      <c r="B16">
        <v>8.0166468035900103</v>
      </c>
      <c r="C16" s="11">
        <v>4763.4799999999996</v>
      </c>
      <c r="D16" s="11">
        <v>9.8175096591700992</v>
      </c>
      <c r="E16" s="11">
        <v>0.16251013545035903</v>
      </c>
    </row>
    <row r="17" spans="1:5">
      <c r="A17" s="11" t="s">
        <v>35</v>
      </c>
      <c r="B17">
        <v>13.94407940371201</v>
      </c>
      <c r="C17" s="11">
        <v>6984.73</v>
      </c>
      <c r="D17" s="11">
        <v>97.838490831037788</v>
      </c>
      <c r="E17" s="11">
        <v>0.20031680153638282</v>
      </c>
    </row>
    <row r="18" spans="1:5">
      <c r="A18" s="11" t="s">
        <v>37</v>
      </c>
      <c r="B18">
        <v>10.166223663011781</v>
      </c>
      <c r="C18" s="11">
        <v>5458.94</v>
      </c>
      <c r="D18" s="11">
        <v>56.440766055090855</v>
      </c>
      <c r="E18" s="11">
        <v>0.18121606665920603</v>
      </c>
    </row>
    <row r="19" spans="1:5">
      <c r="A19" s="11" t="s">
        <v>39</v>
      </c>
      <c r="B19">
        <v>5.7323876271565295</v>
      </c>
      <c r="C19" s="11">
        <v>3774.29</v>
      </c>
      <c r="D19" s="11">
        <v>2.0791554895781785</v>
      </c>
      <c r="E19" s="11">
        <v>0.15077723225255107</v>
      </c>
    </row>
    <row r="20" spans="1:5">
      <c r="A20" s="11" t="s">
        <v>41</v>
      </c>
      <c r="B20">
        <v>12.017816770779381</v>
      </c>
      <c r="C20" s="11">
        <v>5825.61</v>
      </c>
      <c r="D20" s="11">
        <v>84.589009893810285</v>
      </c>
      <c r="E20" s="11">
        <v>0.21133795487302856</v>
      </c>
    </row>
    <row r="21" spans="1:5">
      <c r="A21" s="11" t="s">
        <v>43</v>
      </c>
      <c r="B21">
        <v>6.2748058451248196</v>
      </c>
      <c r="C21" s="11">
        <v>3578.39</v>
      </c>
      <c r="D21" s="11">
        <v>84.863671420146076</v>
      </c>
      <c r="E21" s="11">
        <v>0.17700428379230254</v>
      </c>
    </row>
    <row r="22" spans="1:5">
      <c r="A22" s="11" t="s">
        <v>45</v>
      </c>
      <c r="B22">
        <v>1.585662081469676</v>
      </c>
      <c r="C22" s="11">
        <v>693.89</v>
      </c>
      <c r="D22" s="11">
        <v>95.801510788364425</v>
      </c>
      <c r="E22" s="11">
        <v>0.25203351808607399</v>
      </c>
    </row>
    <row r="23" spans="1:5">
      <c r="A23" s="11" t="s">
        <v>47</v>
      </c>
      <c r="B23">
        <v>1.2655675188222211</v>
      </c>
      <c r="C23" s="11">
        <v>304.89999999999998</v>
      </c>
      <c r="D23" s="11">
        <v>100</v>
      </c>
      <c r="E23" s="11">
        <v>0.45692855095511897</v>
      </c>
    </row>
    <row r="24" spans="1:5">
      <c r="A24" s="11" t="s">
        <v>49</v>
      </c>
      <c r="B24">
        <v>5.1589930043054251</v>
      </c>
      <c r="C24" s="11">
        <v>3022.97</v>
      </c>
      <c r="D24" s="11">
        <v>95.332076039702144</v>
      </c>
      <c r="E24" s="11">
        <v>0.16689984887869211</v>
      </c>
    </row>
    <row r="25" spans="1:5">
      <c r="A25" s="11" t="s">
        <v>51</v>
      </c>
      <c r="B25">
        <v>32.428693590839657</v>
      </c>
      <c r="C25" s="11">
        <v>8387.9</v>
      </c>
      <c r="D25" s="11">
        <v>98.735941874099751</v>
      </c>
      <c r="E25" s="11">
        <v>0.38665965457800233</v>
      </c>
    </row>
    <row r="26" spans="1:5">
      <c r="A26" s="11" t="s">
        <v>53</v>
      </c>
      <c r="B26">
        <v>0.2902811825768854</v>
      </c>
      <c r="C26" s="11">
        <v>127.17</v>
      </c>
      <c r="D26" s="11">
        <v>15.683581124757598</v>
      </c>
      <c r="E26" s="11">
        <v>0.23161435101579622</v>
      </c>
    </row>
    <row r="27" spans="1:5">
      <c r="A27" s="11" t="s">
        <v>55</v>
      </c>
      <c r="B27">
        <v>4.7928681636867161</v>
      </c>
      <c r="C27" s="11">
        <v>3160.96</v>
      </c>
      <c r="D27" s="11">
        <v>99.90715417029017</v>
      </c>
      <c r="E27" s="11">
        <v>0.15500535779792407</v>
      </c>
    </row>
    <row r="28" spans="1:5">
      <c r="A28" s="11" t="s">
        <v>57</v>
      </c>
      <c r="B28">
        <v>7.4305441339184597</v>
      </c>
      <c r="C28" s="11">
        <v>6403.97</v>
      </c>
      <c r="D28" s="11">
        <v>57.130244877096793</v>
      </c>
      <c r="E28" s="11">
        <v>0.11612568523321799</v>
      </c>
    </row>
    <row r="29" spans="1:5">
      <c r="A29" s="11" t="s">
        <v>59</v>
      </c>
      <c r="B29">
        <v>0.61143497499256494</v>
      </c>
      <c r="C29" s="11">
        <v>390.03</v>
      </c>
      <c r="D29" s="11">
        <v>85.469394355947287</v>
      </c>
      <c r="E29" s="11">
        <v>0.15010849787281699</v>
      </c>
    </row>
    <row r="30" spans="1:5">
      <c r="A30" s="11" t="s">
        <v>61</v>
      </c>
      <c r="B30">
        <v>2.6584786778179761</v>
      </c>
      <c r="C30" s="11">
        <v>194.58</v>
      </c>
      <c r="D30" s="11">
        <v>97.779499096307774</v>
      </c>
      <c r="E30" s="11">
        <v>1.0515036231933832</v>
      </c>
    </row>
    <row r="31" spans="1:5">
      <c r="A31" s="11" t="s">
        <v>63</v>
      </c>
      <c r="B31">
        <v>10.242653307524719</v>
      </c>
      <c r="C31" s="11">
        <v>2824.76</v>
      </c>
      <c r="D31" s="11">
        <v>98.524118472527761</v>
      </c>
      <c r="E31" s="11">
        <v>0.35946741750772426</v>
      </c>
    </row>
    <row r="32" spans="1:5">
      <c r="A32" s="11" t="s">
        <v>65</v>
      </c>
      <c r="B32">
        <v>4.3079580487557356</v>
      </c>
      <c r="C32" s="11">
        <v>4243.22</v>
      </c>
      <c r="D32" s="11">
        <v>76.298746324957008</v>
      </c>
      <c r="E32" s="11">
        <v>0.10547678796352263</v>
      </c>
    </row>
    <row r="33" spans="1:5">
      <c r="A33" s="11" t="s">
        <v>67</v>
      </c>
      <c r="B33">
        <v>1.5017382292890908</v>
      </c>
      <c r="C33" s="11">
        <v>1024.68</v>
      </c>
      <c r="D33" s="11">
        <v>21.770995310936726</v>
      </c>
      <c r="E33" s="11">
        <v>0.14965890667208914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2353-F5BD-C745-AFFD-F3A994FB67F7}">
  <dimension ref="A1:C33"/>
  <sheetViews>
    <sheetView workbookViewId="0">
      <selection activeCell="D1" sqref="D1:N1048576"/>
    </sheetView>
  </sheetViews>
  <sheetFormatPr baseColWidth="10" defaultRowHeight="16"/>
  <cols>
    <col min="1" max="1" width="10.83203125" style="13"/>
    <col min="2" max="3" width="10.83203125" style="12"/>
    <col min="4" max="4" width="14.1640625" style="11" bestFit="1" customWidth="1"/>
    <col min="5" max="16384" width="10.83203125" style="11"/>
  </cols>
  <sheetData>
    <row r="1" spans="1:3">
      <c r="A1" s="13" t="s">
        <v>0</v>
      </c>
      <c r="B1" s="12" t="s">
        <v>117</v>
      </c>
      <c r="C1" s="12" t="s">
        <v>115</v>
      </c>
    </row>
    <row r="2" spans="1:3">
      <c r="A2" s="13" t="s">
        <v>107</v>
      </c>
      <c r="B2" s="12" t="s">
        <v>102</v>
      </c>
      <c r="C2" s="12" t="s">
        <v>102</v>
      </c>
    </row>
    <row r="3" spans="1:3">
      <c r="A3" s="13" t="s">
        <v>69</v>
      </c>
      <c r="B3" s="12">
        <v>-13.552328450957299</v>
      </c>
      <c r="C3" s="12">
        <v>17.224346627655425</v>
      </c>
    </row>
    <row r="4" spans="1:3">
      <c r="A4" s="13" t="s">
        <v>70</v>
      </c>
      <c r="B4" s="12">
        <v>-48.009996979606832</v>
      </c>
      <c r="C4" s="12">
        <v>-50.296473525434301</v>
      </c>
    </row>
    <row r="5" spans="1:3">
      <c r="A5" s="13" t="s">
        <v>71</v>
      </c>
      <c r="B5" s="12">
        <v>-26.996621271389444</v>
      </c>
      <c r="C5" s="12">
        <v>3.8620101407382834</v>
      </c>
    </row>
    <row r="6" spans="1:3">
      <c r="A6" s="13" t="s">
        <v>74</v>
      </c>
      <c r="B6" s="12">
        <v>-51.807065661138694</v>
      </c>
      <c r="C6" s="12">
        <v>-4.4344280691254445</v>
      </c>
    </row>
    <row r="7" spans="1:3">
      <c r="A7" s="13" t="s">
        <v>72</v>
      </c>
      <c r="B7" s="12">
        <v>14.023153210134678</v>
      </c>
      <c r="C7" s="12">
        <v>13.909098230824993</v>
      </c>
    </row>
    <row r="8" spans="1:3">
      <c r="A8" s="13" t="s">
        <v>75</v>
      </c>
      <c r="B8" s="12">
        <v>-32.692847978141245</v>
      </c>
      <c r="C8" s="12">
        <v>6.8782848779189703</v>
      </c>
    </row>
    <row r="9" spans="1:3">
      <c r="A9" s="13" t="s">
        <v>76</v>
      </c>
      <c r="B9" s="12">
        <v>-33.754661353328643</v>
      </c>
      <c r="C9" s="12">
        <v>-3.8153731621068396</v>
      </c>
    </row>
    <row r="10" spans="1:3">
      <c r="A10" s="13" t="s">
        <v>77</v>
      </c>
      <c r="B10" s="12">
        <v>-24.338366669958759</v>
      </c>
      <c r="C10" s="12">
        <v>4.0836625610039565</v>
      </c>
    </row>
    <row r="11" spans="1:3">
      <c r="A11" s="13" t="s">
        <v>78</v>
      </c>
      <c r="B11" s="12">
        <v>-42.814133603304789</v>
      </c>
      <c r="C11" s="12">
        <v>-12.773657668347671</v>
      </c>
    </row>
    <row r="12" spans="1:3">
      <c r="A12" s="13" t="s">
        <v>79</v>
      </c>
      <c r="B12" s="12">
        <v>-15.479326106626401</v>
      </c>
      <c r="C12" s="12">
        <v>6.2777729736364263</v>
      </c>
    </row>
    <row r="13" spans="1:3">
      <c r="A13" s="13" t="s">
        <v>80</v>
      </c>
      <c r="B13" s="12">
        <v>7.482185906298783</v>
      </c>
      <c r="C13" s="12">
        <v>10.391191632731461</v>
      </c>
    </row>
    <row r="14" spans="1:3">
      <c r="A14" s="13" t="s">
        <v>81</v>
      </c>
      <c r="B14" s="12">
        <v>-14.862464573612574</v>
      </c>
      <c r="C14" s="12">
        <v>9.9682924399880513</v>
      </c>
    </row>
    <row r="15" spans="1:3">
      <c r="A15" s="13" t="s">
        <v>82</v>
      </c>
      <c r="B15" s="12">
        <v>-17.180589001146796</v>
      </c>
      <c r="C15" s="12">
        <v>7.3787511454986232</v>
      </c>
    </row>
    <row r="16" spans="1:3">
      <c r="A16" s="13" t="s">
        <v>83</v>
      </c>
      <c r="B16" s="12">
        <v>-40.42416183496568</v>
      </c>
      <c r="C16" s="12">
        <v>2.6248185339550654</v>
      </c>
    </row>
    <row r="17" spans="1:3">
      <c r="A17" s="13" t="s">
        <v>84</v>
      </c>
      <c r="B17" s="12">
        <v>3.8169340713046673</v>
      </c>
      <c r="C17" s="12">
        <v>28.899716005315135</v>
      </c>
    </row>
    <row r="18" spans="1:3">
      <c r="A18" s="13" t="s">
        <v>85</v>
      </c>
      <c r="B18" s="12">
        <v>-21.886507966311594</v>
      </c>
      <c r="C18" s="12">
        <v>10.37194622212146</v>
      </c>
    </row>
    <row r="19" spans="1:3">
      <c r="A19" s="13" t="s">
        <v>86</v>
      </c>
      <c r="B19" s="12">
        <v>-34.17183554247616</v>
      </c>
      <c r="C19" s="12">
        <v>0.73039860335323781</v>
      </c>
    </row>
    <row r="20" spans="1:3">
      <c r="A20" s="13" t="s">
        <v>87</v>
      </c>
      <c r="B20" s="12">
        <v>6.5085396367223698</v>
      </c>
      <c r="C20" s="12">
        <v>11.245449472537397</v>
      </c>
    </row>
    <row r="21" spans="1:3">
      <c r="A21" s="13" t="s">
        <v>88</v>
      </c>
      <c r="B21" s="12">
        <v>-16.130478622372099</v>
      </c>
      <c r="C21" s="12">
        <v>8.9274256260331253</v>
      </c>
    </row>
    <row r="22" spans="1:3">
      <c r="A22" s="13" t="s">
        <v>89</v>
      </c>
      <c r="B22" s="12">
        <v>-11.311345094000066</v>
      </c>
      <c r="C22" s="12">
        <v>1.4760641860215893</v>
      </c>
    </row>
    <row r="23" spans="1:3">
      <c r="A23" s="13" t="s">
        <v>90</v>
      </c>
      <c r="B23" s="12">
        <v>-4.4585510012684244</v>
      </c>
      <c r="C23" s="12">
        <v>12.24529212940609</v>
      </c>
    </row>
    <row r="24" spans="1:3">
      <c r="A24" s="13" t="s">
        <v>91</v>
      </c>
      <c r="B24" s="12">
        <v>-7.9165947335311975</v>
      </c>
      <c r="C24" s="12">
        <v>9.3436867539548238</v>
      </c>
    </row>
    <row r="25" spans="1:3">
      <c r="A25" s="13" t="s">
        <v>92</v>
      </c>
      <c r="B25" s="12">
        <v>-12.794744325511898</v>
      </c>
      <c r="C25" s="12">
        <v>15.805252035450422</v>
      </c>
    </row>
    <row r="26" spans="1:3">
      <c r="A26" s="13" t="s">
        <v>93</v>
      </c>
      <c r="B26" s="12">
        <v>-32.485945675399265</v>
      </c>
      <c r="C26" s="12">
        <v>-20.823940924990289</v>
      </c>
    </row>
    <row r="27" spans="1:3">
      <c r="A27" s="13" t="s">
        <v>94</v>
      </c>
      <c r="B27" s="12">
        <v>-10.076569629941964</v>
      </c>
      <c r="C27" s="12">
        <v>8.5226980712329521</v>
      </c>
    </row>
    <row r="28" spans="1:3">
      <c r="A28" s="13" t="s">
        <v>95</v>
      </c>
      <c r="B28" s="12">
        <v>-24.323943231925437</v>
      </c>
      <c r="C28" s="12">
        <v>7.7246812107695986</v>
      </c>
    </row>
    <row r="29" spans="1:3">
      <c r="A29" s="13" t="s">
        <v>96</v>
      </c>
      <c r="B29" s="12">
        <v>-46.942206963042295</v>
      </c>
      <c r="C29" s="12">
        <v>44.121956717763751</v>
      </c>
    </row>
    <row r="30" spans="1:3">
      <c r="A30" s="13" t="s">
        <v>61</v>
      </c>
      <c r="B30" s="12">
        <v>92.566962081843926</v>
      </c>
      <c r="C30" s="12">
        <v>13.252886715905554</v>
      </c>
    </row>
    <row r="31" spans="1:3">
      <c r="A31" s="13" t="s">
        <v>97</v>
      </c>
      <c r="B31" s="12">
        <v>18.815792505117066</v>
      </c>
      <c r="C31" s="12">
        <v>22.711138133703919</v>
      </c>
    </row>
    <row r="32" spans="1:3">
      <c r="A32" s="13" t="s">
        <v>65</v>
      </c>
      <c r="B32" s="12">
        <v>-30.904884695796326</v>
      </c>
      <c r="C32" s="12">
        <v>12.325664764224213</v>
      </c>
    </row>
    <row r="33" spans="1:3">
      <c r="A33" s="13" t="s">
        <v>67</v>
      </c>
      <c r="B33" s="12">
        <v>-51.876005137658588</v>
      </c>
      <c r="C33" s="12">
        <v>6.2577972952742158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3468-C935-EC43-93ED-52FE3BFE8F9F}">
  <dimension ref="A1:G36"/>
  <sheetViews>
    <sheetView workbookViewId="0">
      <selection activeCell="D1" sqref="D1:J1048576"/>
    </sheetView>
  </sheetViews>
  <sheetFormatPr baseColWidth="10" defaultRowHeight="16"/>
  <cols>
    <col min="1" max="1" width="10.83203125" style="10"/>
    <col min="2" max="2" width="10.83203125" style="14"/>
    <col min="3" max="3" width="18.83203125" style="14" customWidth="1"/>
    <col min="4" max="7" width="10.83203125" style="15"/>
    <col min="8" max="8" width="14.1640625" style="15" bestFit="1" customWidth="1"/>
    <col min="9" max="16384" width="10.83203125" style="15"/>
  </cols>
  <sheetData>
    <row r="1" spans="1:7">
      <c r="A1" s="10" t="s">
        <v>0</v>
      </c>
      <c r="B1" s="14" t="s">
        <v>117</v>
      </c>
      <c r="C1" s="14" t="s">
        <v>116</v>
      </c>
      <c r="E1" s="16"/>
      <c r="F1" s="16"/>
      <c r="G1" s="16"/>
    </row>
    <row r="2" spans="1:7">
      <c r="A2" s="10" t="s">
        <v>107</v>
      </c>
      <c r="B2" s="14" t="s">
        <v>102</v>
      </c>
      <c r="C2" s="14" t="s">
        <v>102</v>
      </c>
      <c r="E2" s="17"/>
      <c r="F2" s="18"/>
      <c r="G2" s="18"/>
    </row>
    <row r="3" spans="1:7">
      <c r="A3" s="10" t="s">
        <v>69</v>
      </c>
      <c r="B3" s="12">
        <v>-13.552328450957299</v>
      </c>
      <c r="C3" s="12">
        <v>4.1152321791566804</v>
      </c>
      <c r="E3"/>
      <c r="F3"/>
      <c r="G3" s="18"/>
    </row>
    <row r="4" spans="1:7">
      <c r="A4" s="10" t="s">
        <v>70</v>
      </c>
      <c r="B4" s="12">
        <v>-48.009996979606832</v>
      </c>
      <c r="C4" s="12">
        <v>-43.697690516644599</v>
      </c>
      <c r="E4"/>
      <c r="F4"/>
      <c r="G4" s="18"/>
    </row>
    <row r="5" spans="1:7">
      <c r="A5" s="10" t="s">
        <v>71</v>
      </c>
      <c r="B5" s="12">
        <v>-26.996621271389444</v>
      </c>
      <c r="C5" s="12">
        <v>-1.6276190244968201</v>
      </c>
      <c r="E5"/>
      <c r="F5"/>
      <c r="G5" s="18"/>
    </row>
    <row r="6" spans="1:7">
      <c r="A6" s="10" t="s">
        <v>74</v>
      </c>
      <c r="B6" s="12">
        <v>-51.807065661138694</v>
      </c>
      <c r="C6" s="12">
        <v>-10.873043625690096</v>
      </c>
      <c r="E6"/>
      <c r="F6"/>
      <c r="G6" s="18"/>
    </row>
    <row r="7" spans="1:7">
      <c r="A7" s="10" t="s">
        <v>72</v>
      </c>
      <c r="B7" s="12">
        <v>14.023153210134678</v>
      </c>
      <c r="C7" s="12">
        <v>-1.4519043066375386</v>
      </c>
      <c r="E7"/>
      <c r="F7"/>
      <c r="G7" s="18"/>
    </row>
    <row r="8" spans="1:7">
      <c r="A8" s="10" t="s">
        <v>75</v>
      </c>
      <c r="B8" s="12">
        <v>-32.692847978141245</v>
      </c>
      <c r="C8" s="12">
        <v>-1.6328997758678399</v>
      </c>
      <c r="E8"/>
      <c r="F8"/>
      <c r="G8" s="18"/>
    </row>
    <row r="9" spans="1:7">
      <c r="A9" s="10" t="s">
        <v>76</v>
      </c>
      <c r="B9" s="12">
        <v>-33.754661353328643</v>
      </c>
      <c r="C9" s="12">
        <v>-4.6874211954420399</v>
      </c>
      <c r="E9"/>
      <c r="F9"/>
      <c r="G9" s="18"/>
    </row>
    <row r="10" spans="1:7">
      <c r="A10" s="10" t="s">
        <v>77</v>
      </c>
      <c r="B10" s="12">
        <v>-24.338366669958759</v>
      </c>
      <c r="C10" s="12">
        <v>-10.257986450373032</v>
      </c>
      <c r="E10"/>
      <c r="F10"/>
      <c r="G10" s="18"/>
    </row>
    <row r="11" spans="1:7">
      <c r="A11" s="10" t="s">
        <v>78</v>
      </c>
      <c r="B11" s="12">
        <v>-42.814133603304789</v>
      </c>
      <c r="C11" s="12">
        <v>-25.140230388267177</v>
      </c>
      <c r="E11"/>
      <c r="F11"/>
      <c r="G11" s="18"/>
    </row>
    <row r="12" spans="1:7">
      <c r="A12" s="10" t="s">
        <v>79</v>
      </c>
      <c r="B12" s="12">
        <v>-15.479326106626401</v>
      </c>
      <c r="C12" s="12">
        <v>-2.3024463776538764</v>
      </c>
      <c r="E12"/>
      <c r="F12"/>
      <c r="G12" s="18"/>
    </row>
    <row r="13" spans="1:7">
      <c r="A13" s="10" t="s">
        <v>80</v>
      </c>
      <c r="B13" s="12">
        <v>7.482185906298783</v>
      </c>
      <c r="C13" s="12">
        <v>8.6002345391276727</v>
      </c>
      <c r="E13"/>
      <c r="F13"/>
      <c r="G13" s="18"/>
    </row>
    <row r="14" spans="1:7">
      <c r="A14" s="10" t="s">
        <v>81</v>
      </c>
      <c r="B14" s="12">
        <v>-14.862464573612574</v>
      </c>
      <c r="C14" s="12">
        <v>0.82131876534831805</v>
      </c>
      <c r="E14"/>
      <c r="F14"/>
      <c r="G14" s="18"/>
    </row>
    <row r="15" spans="1:7">
      <c r="A15" s="10" t="s">
        <v>82</v>
      </c>
      <c r="B15" s="12">
        <v>-17.180589001146796</v>
      </c>
      <c r="C15" s="12">
        <v>6.5745143322918045</v>
      </c>
      <c r="E15"/>
      <c r="F15"/>
      <c r="G15" s="18"/>
    </row>
    <row r="16" spans="1:7">
      <c r="A16" s="10" t="s">
        <v>83</v>
      </c>
      <c r="B16" s="12">
        <v>-40.42416183496568</v>
      </c>
      <c r="C16" s="12">
        <v>-4.9203691025331429</v>
      </c>
      <c r="E16"/>
      <c r="F16"/>
      <c r="G16" s="18"/>
    </row>
    <row r="17" spans="1:7">
      <c r="A17" s="10" t="s">
        <v>84</v>
      </c>
      <c r="B17" s="12">
        <v>3.8169340713046673</v>
      </c>
      <c r="C17" s="12">
        <v>11.700455294902191</v>
      </c>
      <c r="E17"/>
      <c r="F17"/>
      <c r="G17" s="18"/>
    </row>
    <row r="18" spans="1:7">
      <c r="A18" s="10" t="s">
        <v>85</v>
      </c>
      <c r="B18" s="12">
        <v>-21.886507966311594</v>
      </c>
      <c r="C18" s="12">
        <v>-0.29733965027890485</v>
      </c>
      <c r="E18"/>
      <c r="F18"/>
      <c r="G18" s="18"/>
    </row>
    <row r="19" spans="1:7">
      <c r="A19" s="10" t="s">
        <v>86</v>
      </c>
      <c r="B19" s="12">
        <v>-34.17183554247616</v>
      </c>
      <c r="C19" s="12">
        <v>-2.5693594613357879E-2</v>
      </c>
      <c r="E19"/>
      <c r="F19"/>
      <c r="G19" s="18"/>
    </row>
    <row r="20" spans="1:7">
      <c r="A20" s="10" t="s">
        <v>87</v>
      </c>
      <c r="B20" s="12">
        <v>6.5085396367223698</v>
      </c>
      <c r="C20" s="12">
        <v>13.514287662824787</v>
      </c>
      <c r="E20"/>
      <c r="F20"/>
      <c r="G20" s="18"/>
    </row>
    <row r="21" spans="1:7">
      <c r="A21" s="10" t="s">
        <v>88</v>
      </c>
      <c r="B21" s="12">
        <v>-16.130478622372099</v>
      </c>
      <c r="C21" s="12">
        <v>4.8637037644838506</v>
      </c>
      <c r="E21"/>
      <c r="F21"/>
      <c r="G21" s="18"/>
    </row>
    <row r="22" spans="1:7">
      <c r="A22" s="10" t="s">
        <v>89</v>
      </c>
      <c r="B22" s="12">
        <v>-11.311345094000066</v>
      </c>
      <c r="C22" s="12">
        <v>-8.1901057171965732</v>
      </c>
      <c r="E22"/>
      <c r="F22"/>
      <c r="G22" s="18"/>
    </row>
    <row r="23" spans="1:7">
      <c r="A23" s="10" t="s">
        <v>90</v>
      </c>
      <c r="B23" s="12">
        <v>-4.4585510012684244</v>
      </c>
      <c r="C23" s="12">
        <v>7.8604782793264372</v>
      </c>
      <c r="E23"/>
      <c r="F23"/>
      <c r="G23" s="18"/>
    </row>
    <row r="24" spans="1:7">
      <c r="A24" s="10" t="s">
        <v>91</v>
      </c>
      <c r="B24" s="12">
        <v>-7.9165947335311975</v>
      </c>
      <c r="C24" s="12">
        <v>-2.0453065205486665</v>
      </c>
      <c r="E24"/>
      <c r="F24"/>
      <c r="G24" s="18"/>
    </row>
    <row r="25" spans="1:7">
      <c r="A25" s="10" t="s">
        <v>92</v>
      </c>
      <c r="B25" s="12">
        <v>-12.794744325511898</v>
      </c>
      <c r="C25" s="12">
        <v>4.7494998488931701</v>
      </c>
      <c r="E25"/>
      <c r="F25"/>
      <c r="G25" s="18"/>
    </row>
    <row r="26" spans="1:7">
      <c r="A26" s="10" t="s">
        <v>93</v>
      </c>
      <c r="B26" s="12">
        <v>-32.485945675399265</v>
      </c>
      <c r="C26" s="12">
        <v>-33.244094488188978</v>
      </c>
      <c r="E26"/>
      <c r="F26"/>
      <c r="G26" s="18"/>
    </row>
    <row r="27" spans="1:7">
      <c r="A27" s="10" t="s">
        <v>94</v>
      </c>
      <c r="B27" s="12">
        <v>-10.076569629941964</v>
      </c>
      <c r="C27" s="12">
        <v>-2.5958338469123565</v>
      </c>
      <c r="E27"/>
      <c r="F27"/>
      <c r="G27" s="18"/>
    </row>
    <row r="28" spans="1:7">
      <c r="A28" s="10" t="s">
        <v>95</v>
      </c>
      <c r="B28" s="12">
        <v>-24.323943231925437</v>
      </c>
      <c r="C28" s="12">
        <v>2.137822910303623</v>
      </c>
      <c r="E28"/>
      <c r="F28"/>
      <c r="G28" s="18"/>
    </row>
    <row r="29" spans="1:7">
      <c r="A29" s="10" t="s">
        <v>96</v>
      </c>
      <c r="B29" s="12">
        <v>-46.942206963042295</v>
      </c>
      <c r="C29" s="12">
        <v>16.785938856783524</v>
      </c>
      <c r="E29"/>
      <c r="F29"/>
      <c r="G29" s="18"/>
    </row>
    <row r="30" spans="1:7">
      <c r="A30" s="10" t="s">
        <v>61</v>
      </c>
      <c r="B30" s="12">
        <v>92.566962081843926</v>
      </c>
      <c r="C30" s="12">
        <v>10.638539830556665</v>
      </c>
      <c r="E30"/>
      <c r="F30"/>
      <c r="G30" s="18"/>
    </row>
    <row r="31" spans="1:7">
      <c r="A31" s="10" t="s">
        <v>97</v>
      </c>
      <c r="B31" s="12">
        <v>18.815792505117066</v>
      </c>
      <c r="C31" s="12">
        <v>25.1616162063725</v>
      </c>
      <c r="E31"/>
      <c r="F31"/>
      <c r="G31" s="18"/>
    </row>
    <row r="32" spans="1:7">
      <c r="A32" s="10" t="s">
        <v>65</v>
      </c>
      <c r="B32" s="12">
        <v>-30.904884695796326</v>
      </c>
      <c r="C32" s="12">
        <v>-0.78493449526396453</v>
      </c>
      <c r="E32"/>
      <c r="F32"/>
      <c r="G32" s="18"/>
    </row>
    <row r="33" spans="1:7">
      <c r="A33" s="10" t="s">
        <v>67</v>
      </c>
      <c r="B33" s="12">
        <v>-51.876005137658588</v>
      </c>
      <c r="C33" s="12">
        <v>0.77002507744505488</v>
      </c>
      <c r="E33"/>
      <c r="F33"/>
      <c r="G33" s="18"/>
    </row>
    <row r="34" spans="1:7">
      <c r="E34" s="17"/>
      <c r="F34" s="18"/>
      <c r="G34" s="18"/>
    </row>
    <row r="35" spans="1:7">
      <c r="E35" s="17"/>
      <c r="F35" s="18"/>
      <c r="G35" s="18"/>
    </row>
    <row r="36" spans="1:7">
      <c r="B36" s="12"/>
      <c r="E36" s="20"/>
      <c r="F36" s="18"/>
      <c r="G36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Fig.2a</vt:lpstr>
      <vt:lpstr>Fig.2b</vt:lpstr>
      <vt:lpstr>Fig.2c</vt:lpstr>
      <vt:lpstr>Fig.2d</vt:lpstr>
      <vt:lpstr>Fig.2e</vt:lpstr>
      <vt:lpstr>Fig.2f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Jingjing Dong</dc:creator>
  <cp:keywords/>
  <dc:description/>
  <cp:lastModifiedBy>Jingjing Dong</cp:lastModifiedBy>
  <dcterms:created xsi:type="dcterms:W3CDTF">2025-09-26T02:47:58Z</dcterms:created>
  <dcterms:modified xsi:type="dcterms:W3CDTF">2025-12-19T08:33:51Z</dcterms:modified>
  <cp:category/>
</cp:coreProperties>
</file>