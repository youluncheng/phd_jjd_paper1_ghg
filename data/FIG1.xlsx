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15"/>
  <workbookPr/>
  <mc:AlternateContent xmlns:mc="http://schemas.openxmlformats.org/markup-compatibility/2006">
    <mc:Choice Requires="x15">
      <x15ac:absPath xmlns:x15ac="http://schemas.microsoft.com/office/spreadsheetml/2010/11/ac" url="/Users/dongjingjing/Desktop/GHG/FIG/FIG1/"/>
    </mc:Choice>
  </mc:AlternateContent>
  <xr:revisionPtr revIDLastSave="0" documentId="13_ncr:1_{D4759FA0-E14C-254D-8B34-6A38B08DBA2E}" xr6:coauthVersionLast="47" xr6:coauthVersionMax="47" xr10:uidLastSave="{00000000-0000-0000-0000-000000000000}"/>
  <bookViews>
    <workbookView xWindow="35900" yWindow="2000" windowWidth="25820" windowHeight="17840" xr2:uid="{00000000-000D-0000-FFFF-FFFF00000000}"/>
  </bookViews>
  <sheets>
    <sheet name="Sheet3" sheetId="4" r:id="rId1"/>
    <sheet name="Sheet2" sheetId="6" r:id="rId2"/>
    <sheet name="Sheet1" sheetId="5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6" l="1"/>
  <c r="B7" i="6"/>
  <c r="B5" i="6"/>
  <c r="B3" i="6"/>
  <c r="D3" i="6"/>
  <c r="C5" i="6"/>
  <c r="C7" i="6"/>
  <c r="C9" i="6"/>
  <c r="C3" i="6"/>
  <c r="D34" i="4"/>
  <c r="D33" i="4"/>
  <c r="C34" i="4"/>
  <c r="C35" i="4"/>
  <c r="D35" i="4" s="1"/>
  <c r="C36" i="4" s="1"/>
  <c r="D36" i="4" s="1"/>
  <c r="C37" i="4" s="1"/>
  <c r="D37" i="4" s="1"/>
  <c r="C38" i="4" s="1"/>
  <c r="D38" i="4" s="1"/>
  <c r="C39" i="4" s="1"/>
  <c r="D39" i="4" s="1"/>
  <c r="C40" i="4" s="1"/>
  <c r="D40" i="4" s="1"/>
  <c r="C41" i="4" s="1"/>
  <c r="D41" i="4" s="1"/>
  <c r="C33" i="4"/>
  <c r="C23" i="4"/>
  <c r="D23" i="4" s="1"/>
  <c r="C24" i="4" s="1"/>
  <c r="D24" i="4" s="1"/>
  <c r="C25" i="4" s="1"/>
  <c r="D25" i="4" s="1"/>
  <c r="C26" i="4" s="1"/>
  <c r="D26" i="4" s="1"/>
  <c r="C27" i="4" s="1"/>
  <c r="D27" i="4" s="1"/>
  <c r="C28" i="4" s="1"/>
  <c r="D28" i="4" s="1"/>
  <c r="C29" i="4" s="1"/>
  <c r="D29" i="4" s="1"/>
  <c r="C30" i="4" s="1"/>
  <c r="D30" i="4" s="1"/>
  <c r="C31" i="4" s="1"/>
  <c r="D31" i="4" s="1"/>
  <c r="C13" i="4"/>
  <c r="D13" i="4" s="1"/>
  <c r="C14" i="4" s="1"/>
  <c r="D14" i="4" s="1"/>
  <c r="C15" i="4" s="1"/>
  <c r="D15" i="4" s="1"/>
  <c r="C16" i="4" s="1"/>
  <c r="D16" i="4" s="1"/>
  <c r="C17" i="4" s="1"/>
  <c r="D17" i="4" s="1"/>
  <c r="C18" i="4" s="1"/>
  <c r="D18" i="4" s="1"/>
  <c r="C19" i="4" s="1"/>
  <c r="D19" i="4" s="1"/>
  <c r="C20" i="4" s="1"/>
  <c r="D20" i="4" s="1"/>
  <c r="C21" i="4" s="1"/>
  <c r="D21" i="4" s="1"/>
  <c r="C3" i="4"/>
  <c r="D3" i="4" s="1"/>
  <c r="C4" i="4" s="1"/>
  <c r="D4" i="4" s="1"/>
  <c r="C5" i="4" s="1"/>
  <c r="D5" i="4" s="1"/>
  <c r="C6" i="4" l="1"/>
  <c r="D6" i="4" s="1"/>
  <c r="C7" i="4" s="1"/>
  <c r="D7" i="4" s="1"/>
  <c r="C8" i="4" l="1"/>
  <c r="D8" i="4" s="1"/>
  <c r="C9" i="4" l="1"/>
  <c r="D9" i="4" s="1"/>
  <c r="C10" i="4" l="1"/>
  <c r="D10" i="4" s="1"/>
  <c r="C11" i="4" s="1"/>
  <c r="D11" i="4" s="1"/>
</calcChain>
</file>

<file path=xl/sharedStrings.xml><?xml version="1.0" encoding="utf-8"?>
<sst xmlns="http://schemas.openxmlformats.org/spreadsheetml/2006/main" count="54" uniqueCount="25">
  <si>
    <t>name</t>
  </si>
  <si>
    <t>Value</t>
  </si>
  <si>
    <t>begin</t>
  </si>
  <si>
    <t>end</t>
  </si>
  <si>
    <t>type</t>
  </si>
  <si>
    <t>Fertilizer application</t>
  </si>
  <si>
    <t>Straw burning</t>
    <phoneticPr fontId="2" type="noConversion"/>
  </si>
  <si>
    <t>Straw returning</t>
    <phoneticPr fontId="2" type="noConversion"/>
  </si>
  <si>
    <t>Manure application</t>
    <phoneticPr fontId="2" type="noConversion"/>
  </si>
  <si>
    <t xml:space="preserve">Paddy rice </t>
    <phoneticPr fontId="2" type="noConversion"/>
  </si>
  <si>
    <t>Fertilizer application</t>
    <phoneticPr fontId="2" type="noConversion"/>
  </si>
  <si>
    <t>Machinery energy</t>
  </si>
  <si>
    <t>Machinery energy</t>
    <phoneticPr fontId="2" type="noConversion"/>
  </si>
  <si>
    <t>Year</t>
    <phoneticPr fontId="2" type="noConversion"/>
  </si>
  <si>
    <t>Yield</t>
    <phoneticPr fontId="2" type="noConversion"/>
  </si>
  <si>
    <t>Year</t>
  </si>
  <si>
    <t>Net emission</t>
    <phoneticPr fontId="2" type="noConversion"/>
  </si>
  <si>
    <t>Emission</t>
    <phoneticPr fontId="2" type="noConversion"/>
  </si>
  <si>
    <t>N leaching/runoff</t>
  </si>
  <si>
    <t>N leaching/runoff</t>
    <phoneticPr fontId="2" type="noConversion"/>
  </si>
  <si>
    <r>
      <t xml:space="preserve">Biological </t>
    </r>
    <r>
      <rPr>
        <sz val="13"/>
        <color rgb="FF262626"/>
        <rFont val="Helvetica Neue"/>
        <family val="2"/>
      </rPr>
      <t>N fixation</t>
    </r>
    <phoneticPr fontId="2" type="noConversion"/>
  </si>
  <si>
    <t>Biological N fixation</t>
  </si>
  <si>
    <t>Carbon sequestration</t>
  </si>
  <si>
    <t>N deposition</t>
    <phoneticPr fontId="2" type="noConversion"/>
  </si>
  <si>
    <t>Carbon sequestration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</si>
</sst>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5">
    <font>
      <sz val="12"/>
      <color theme="1"/>
      <name val="等线"/>
      <charset val="134"/>
      <scheme val="minor"/>
    </font>
    <font>
      <sz val="12"/>
      <color theme="1"/>
      <name val="等线"/>
      <family val="4"/>
      <charset val="134"/>
      <scheme val="minor"/>
    </font>
    <font>
      <sz val="9"/>
      <name val="等线"/>
      <family val="4"/>
      <charset val="134"/>
      <scheme val="minor"/>
    </font>
    <font>
      <sz val="13"/>
      <color rgb="FF262626"/>
      <name val="Helvetica Neue"/>
      <family val="2"/>
    </font>
    <font>
      <b/>
      <sz val="13"/>
      <color rgb="FF262626"/>
      <name val="Helvetica Neue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0" borderId="0" xfId="0" applyAlignment="1"/>
    <xf numFmtId="176" fontId="0" fillId="0" borderId="0" xfId="0" applyNumberFormat="1">
      <alignment vertical="center"/>
    </xf>
    <xf numFmtId="0" fontId="1" fillId="0" borderId="0" xfId="0" applyFont="1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4" fillId="0" borderId="0" xfId="0" applyFont="1">
      <alignment vertical="center"/>
    </xf>
    <xf numFmtId="0" fontId="0" fillId="2" borderId="0" xfId="0" applyFill="1" applyAlignment="1"/>
    <xf numFmtId="0" fontId="1" fillId="0" borderId="0" xfId="0" applyFont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42"/>
  <sheetViews>
    <sheetView tabSelected="1" topLeftCell="A2" workbookViewId="0">
      <selection activeCell="A9" sqref="A9"/>
    </sheetView>
  </sheetViews>
  <sheetFormatPr baseColWidth="10" defaultColWidth="9" defaultRowHeight="16"/>
  <cols>
    <col min="1" max="1" width="20.6640625" customWidth="1"/>
    <col min="2" max="2" width="13.83203125"/>
    <col min="3" max="4" width="12.6640625"/>
    <col min="7" max="7" width="10.83203125" style="4"/>
    <col min="8" max="8" width="9" style="4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G1" s="5"/>
      <c r="H1" s="5"/>
    </row>
    <row r="2" spans="1:8">
      <c r="A2">
        <v>1980</v>
      </c>
      <c r="B2" s="2">
        <v>661.80284644703477</v>
      </c>
      <c r="C2" s="2">
        <v>0</v>
      </c>
      <c r="D2" s="2">
        <v>661.80284644703477</v>
      </c>
      <c r="E2" s="2">
        <v>0</v>
      </c>
    </row>
    <row r="3" spans="1:8">
      <c r="A3" s="3" t="s">
        <v>10</v>
      </c>
      <c r="B3" s="2">
        <v>32.985075949842567</v>
      </c>
      <c r="C3" s="2">
        <f>D2</f>
        <v>661.80284644703477</v>
      </c>
      <c r="D3" s="2">
        <f>B3+C3</f>
        <v>694.78792239687732</v>
      </c>
      <c r="E3" s="2">
        <v>1</v>
      </c>
    </row>
    <row r="4" spans="1:8">
      <c r="A4" s="3" t="s">
        <v>8</v>
      </c>
      <c r="B4" s="2">
        <v>3.2548157664260522</v>
      </c>
      <c r="C4" s="2">
        <f>D3</f>
        <v>694.78792239687732</v>
      </c>
      <c r="D4" s="2">
        <f t="shared" ref="D4:D11" si="0">B4+C4</f>
        <v>698.0427381633034</v>
      </c>
      <c r="E4" s="2">
        <v>1</v>
      </c>
    </row>
    <row r="5" spans="1:8">
      <c r="A5" s="3" t="s">
        <v>6</v>
      </c>
      <c r="B5" s="2">
        <v>13.697057049527409</v>
      </c>
      <c r="C5" s="2">
        <f t="shared" ref="C5:C11" si="1">D4</f>
        <v>698.0427381633034</v>
      </c>
      <c r="D5" s="2">
        <f t="shared" si="0"/>
        <v>711.73979521283081</v>
      </c>
      <c r="E5" s="2">
        <v>1</v>
      </c>
    </row>
    <row r="6" spans="1:8">
      <c r="A6" s="3" t="s">
        <v>7</v>
      </c>
      <c r="B6" s="2">
        <v>0.94574627403296585</v>
      </c>
      <c r="C6" s="2">
        <f t="shared" si="1"/>
        <v>711.73979521283081</v>
      </c>
      <c r="D6" s="2">
        <f t="shared" si="0"/>
        <v>712.68554148686383</v>
      </c>
      <c r="E6" s="2">
        <v>1</v>
      </c>
    </row>
    <row r="7" spans="1:8">
      <c r="A7" s="3" t="s">
        <v>9</v>
      </c>
      <c r="B7" s="2">
        <v>-10.876733799110241</v>
      </c>
      <c r="C7" s="2">
        <f t="shared" si="1"/>
        <v>712.68554148686383</v>
      </c>
      <c r="D7" s="2">
        <f t="shared" si="0"/>
        <v>701.80880768775364</v>
      </c>
      <c r="E7" s="2">
        <v>2</v>
      </c>
    </row>
    <row r="8" spans="1:8">
      <c r="A8" s="3" t="s">
        <v>11</v>
      </c>
      <c r="B8" s="2">
        <v>27.962812498385347</v>
      </c>
      <c r="C8" s="2">
        <f t="shared" si="1"/>
        <v>701.80880768775364</v>
      </c>
      <c r="D8" s="2">
        <f t="shared" si="0"/>
        <v>729.77162018613899</v>
      </c>
      <c r="E8" s="2">
        <v>1</v>
      </c>
    </row>
    <row r="9" spans="1:8" ht="17">
      <c r="A9" s="6" t="s">
        <v>20</v>
      </c>
      <c r="B9" s="2">
        <v>0.22621192037403359</v>
      </c>
      <c r="C9" s="2">
        <f t="shared" si="1"/>
        <v>729.77162018613899</v>
      </c>
      <c r="D9" s="2">
        <f t="shared" si="0"/>
        <v>729.99783210651299</v>
      </c>
      <c r="E9" s="2">
        <v>1</v>
      </c>
    </row>
    <row r="10" spans="1:8">
      <c r="A10" s="3" t="s">
        <v>19</v>
      </c>
      <c r="B10" s="2">
        <v>4.4766486661516023</v>
      </c>
      <c r="C10" s="2">
        <f t="shared" si="1"/>
        <v>729.99783210651299</v>
      </c>
      <c r="D10" s="2">
        <f t="shared" si="0"/>
        <v>734.47448077266461</v>
      </c>
      <c r="E10" s="2">
        <v>1</v>
      </c>
    </row>
    <row r="11" spans="1:8">
      <c r="A11" s="3" t="s">
        <v>23</v>
      </c>
      <c r="B11" s="2">
        <v>1.2484417002965866</v>
      </c>
      <c r="C11" s="2">
        <f t="shared" si="1"/>
        <v>734.47448077266461</v>
      </c>
      <c r="D11" s="2">
        <f t="shared" si="0"/>
        <v>735.72292247296116</v>
      </c>
      <c r="E11" s="2">
        <v>1</v>
      </c>
    </row>
    <row r="12" spans="1:8">
      <c r="A12">
        <v>1990</v>
      </c>
      <c r="B12" s="2">
        <v>735.72292247296116</v>
      </c>
      <c r="C12" s="2">
        <v>0</v>
      </c>
      <c r="D12" s="2">
        <v>735.72292247296116</v>
      </c>
      <c r="E12" s="2">
        <v>0</v>
      </c>
    </row>
    <row r="13" spans="1:8">
      <c r="A13" t="s">
        <v>5</v>
      </c>
      <c r="B13" s="1">
        <v>14.008226401779197</v>
      </c>
      <c r="C13" s="2">
        <f>D12</f>
        <v>735.72292247296116</v>
      </c>
      <c r="D13" s="2">
        <f>C13+B13</f>
        <v>749.73114887474037</v>
      </c>
      <c r="E13" s="2">
        <v>1</v>
      </c>
    </row>
    <row r="14" spans="1:8">
      <c r="A14" s="3" t="s">
        <v>8</v>
      </c>
      <c r="B14" s="1">
        <v>5.2763357877647863</v>
      </c>
      <c r="C14" s="2">
        <f t="shared" ref="C14:C21" si="2">D13</f>
        <v>749.73114887474037</v>
      </c>
      <c r="D14" s="2">
        <f t="shared" ref="D14:D21" si="3">C14+B14</f>
        <v>755.00748466250514</v>
      </c>
      <c r="E14" s="2">
        <v>1</v>
      </c>
    </row>
    <row r="15" spans="1:8">
      <c r="A15" s="3" t="s">
        <v>6</v>
      </c>
      <c r="B15" s="1">
        <v>15.509319380682747</v>
      </c>
      <c r="C15" s="2">
        <f t="shared" si="2"/>
        <v>755.00748466250514</v>
      </c>
      <c r="D15" s="2">
        <f t="shared" si="3"/>
        <v>770.5168040431879</v>
      </c>
      <c r="E15" s="2">
        <v>1</v>
      </c>
    </row>
    <row r="16" spans="1:8">
      <c r="A16" s="3" t="s">
        <v>7</v>
      </c>
      <c r="B16" s="1">
        <v>2.288353765009119</v>
      </c>
      <c r="C16" s="2">
        <f t="shared" si="2"/>
        <v>770.5168040431879</v>
      </c>
      <c r="D16" s="2">
        <f t="shared" si="3"/>
        <v>772.80515780819701</v>
      </c>
      <c r="E16" s="2">
        <v>1</v>
      </c>
    </row>
    <row r="17" spans="1:8">
      <c r="A17" s="3" t="s">
        <v>9</v>
      </c>
      <c r="B17" s="1">
        <v>-30.525244197765915</v>
      </c>
      <c r="C17" s="2">
        <f t="shared" si="2"/>
        <v>772.80515780819701</v>
      </c>
      <c r="D17" s="2">
        <f t="shared" si="3"/>
        <v>742.27991361043109</v>
      </c>
      <c r="E17" s="2">
        <v>2</v>
      </c>
    </row>
    <row r="18" spans="1:8">
      <c r="A18" s="3" t="s">
        <v>11</v>
      </c>
      <c r="B18" s="1">
        <v>43.687342052778035</v>
      </c>
      <c r="C18" s="2">
        <f t="shared" si="2"/>
        <v>742.27991361043109</v>
      </c>
      <c r="D18" s="2">
        <f t="shared" si="3"/>
        <v>785.96725566320913</v>
      </c>
      <c r="E18" s="2">
        <v>1</v>
      </c>
    </row>
    <row r="19" spans="1:8">
      <c r="A19" s="3" t="s">
        <v>21</v>
      </c>
      <c r="B19" s="1">
        <v>0.30493876227150185</v>
      </c>
      <c r="C19" s="2">
        <f t="shared" si="2"/>
        <v>785.96725566320913</v>
      </c>
      <c r="D19" s="2">
        <f t="shared" si="3"/>
        <v>786.27219442548062</v>
      </c>
      <c r="E19" s="2">
        <v>1</v>
      </c>
    </row>
    <row r="20" spans="1:8">
      <c r="A20" s="3" t="s">
        <v>18</v>
      </c>
      <c r="B20" s="1">
        <v>3.078035356745378</v>
      </c>
      <c r="C20" s="2">
        <f t="shared" si="2"/>
        <v>786.27219442548062</v>
      </c>
      <c r="D20" s="2">
        <f t="shared" si="3"/>
        <v>789.35022978222605</v>
      </c>
      <c r="E20" s="2">
        <v>1</v>
      </c>
    </row>
    <row r="21" spans="1:8">
      <c r="A21" s="3" t="s">
        <v>23</v>
      </c>
      <c r="B21" s="1">
        <v>2.0779892330522518</v>
      </c>
      <c r="C21" s="2">
        <f t="shared" si="2"/>
        <v>789.35022978222605</v>
      </c>
      <c r="D21" s="2">
        <f t="shared" si="3"/>
        <v>791.42821901527827</v>
      </c>
      <c r="E21" s="2">
        <v>1</v>
      </c>
    </row>
    <row r="22" spans="1:8">
      <c r="A22">
        <v>2000</v>
      </c>
      <c r="B22" s="2">
        <v>791.42821901527827</v>
      </c>
      <c r="C22" s="2">
        <v>0</v>
      </c>
      <c r="D22" s="2">
        <v>791.42821901527827</v>
      </c>
      <c r="E22" s="2">
        <v>0</v>
      </c>
    </row>
    <row r="23" spans="1:8">
      <c r="A23" t="s">
        <v>5</v>
      </c>
      <c r="B23" s="1">
        <v>37.22648422068481</v>
      </c>
      <c r="C23" s="2">
        <f>D22</f>
        <v>791.42821901527827</v>
      </c>
      <c r="D23" s="2">
        <f>B23+C23</f>
        <v>828.6547032359631</v>
      </c>
      <c r="E23" s="2">
        <v>1</v>
      </c>
    </row>
    <row r="24" spans="1:8">
      <c r="A24" s="3" t="s">
        <v>8</v>
      </c>
      <c r="B24" s="1">
        <v>0.8787621125411107</v>
      </c>
      <c r="C24" s="2">
        <f t="shared" ref="C24:C31" si="4">D23</f>
        <v>828.6547032359631</v>
      </c>
      <c r="D24" s="2">
        <f t="shared" ref="D24:D31" si="5">B24+C24</f>
        <v>829.53346534850425</v>
      </c>
      <c r="E24" s="2">
        <v>1</v>
      </c>
    </row>
    <row r="25" spans="1:8">
      <c r="A25" s="3" t="s">
        <v>6</v>
      </c>
      <c r="B25" s="1">
        <v>15.974803983523842</v>
      </c>
      <c r="C25" s="2">
        <f t="shared" si="4"/>
        <v>829.53346534850425</v>
      </c>
      <c r="D25" s="2">
        <f t="shared" si="5"/>
        <v>845.50826933202814</v>
      </c>
      <c r="E25" s="2">
        <v>1</v>
      </c>
    </row>
    <row r="26" spans="1:8">
      <c r="A26" s="3" t="s">
        <v>7</v>
      </c>
      <c r="B26" s="1">
        <v>2.0355145570389466</v>
      </c>
      <c r="C26" s="2">
        <f t="shared" si="4"/>
        <v>845.50826933202814</v>
      </c>
      <c r="D26" s="2">
        <f t="shared" si="5"/>
        <v>847.54378388906707</v>
      </c>
      <c r="E26" s="2">
        <v>1</v>
      </c>
    </row>
    <row r="27" spans="1:8">
      <c r="A27" s="3" t="s">
        <v>9</v>
      </c>
      <c r="B27" s="1">
        <v>8.5226768388949949</v>
      </c>
      <c r="C27" s="2">
        <f t="shared" si="4"/>
        <v>847.54378388906707</v>
      </c>
      <c r="D27" s="2">
        <f t="shared" si="5"/>
        <v>856.06646072796207</v>
      </c>
      <c r="E27" s="2">
        <v>1</v>
      </c>
    </row>
    <row r="28" spans="1:8">
      <c r="A28" s="3" t="s">
        <v>11</v>
      </c>
      <c r="B28" s="1">
        <v>64.400472377494282</v>
      </c>
      <c r="C28" s="2">
        <f t="shared" si="4"/>
        <v>856.06646072796207</v>
      </c>
      <c r="D28" s="2">
        <f t="shared" si="5"/>
        <v>920.46693310545629</v>
      </c>
      <c r="E28" s="2">
        <v>1</v>
      </c>
    </row>
    <row r="29" spans="1:8">
      <c r="A29" s="3" t="s">
        <v>21</v>
      </c>
      <c r="B29" s="1">
        <v>-0.79214878041898817</v>
      </c>
      <c r="C29" s="2">
        <f t="shared" si="4"/>
        <v>920.46693310545629</v>
      </c>
      <c r="D29" s="2">
        <f t="shared" si="5"/>
        <v>919.67478432503731</v>
      </c>
      <c r="E29" s="2">
        <v>2</v>
      </c>
    </row>
    <row r="30" spans="1:8">
      <c r="A30" s="3" t="s">
        <v>18</v>
      </c>
      <c r="B30" s="1">
        <v>4.1516912378507982</v>
      </c>
      <c r="C30" s="2">
        <f t="shared" si="4"/>
        <v>919.67478432503731</v>
      </c>
      <c r="D30" s="2">
        <f t="shared" si="5"/>
        <v>923.82647556288816</v>
      </c>
      <c r="E30" s="2">
        <v>1</v>
      </c>
    </row>
    <row r="31" spans="1:8" s="1" customFormat="1">
      <c r="A31" s="3" t="s">
        <v>23</v>
      </c>
      <c r="B31" s="1">
        <v>0.70296158677811338</v>
      </c>
      <c r="C31" s="2">
        <f t="shared" si="4"/>
        <v>923.82647556288816</v>
      </c>
      <c r="D31" s="2">
        <f t="shared" si="5"/>
        <v>924.52943714966625</v>
      </c>
      <c r="E31" s="2">
        <v>1</v>
      </c>
      <c r="G31" s="4"/>
      <c r="H31" s="4"/>
    </row>
    <row r="32" spans="1:8">
      <c r="A32">
        <v>2010</v>
      </c>
      <c r="B32" s="2">
        <v>924.52943714966625</v>
      </c>
      <c r="C32" s="2">
        <v>0</v>
      </c>
      <c r="D32" s="2">
        <v>924.52943714966625</v>
      </c>
      <c r="E32" s="2">
        <v>0</v>
      </c>
    </row>
    <row r="33" spans="1:5">
      <c r="A33" t="s">
        <v>5</v>
      </c>
      <c r="B33" s="1">
        <v>-27.481549779660256</v>
      </c>
      <c r="C33" s="2">
        <f>D32</f>
        <v>924.52943714966625</v>
      </c>
      <c r="D33" s="2">
        <f>C33+B33</f>
        <v>897.04788737000604</v>
      </c>
      <c r="E33" s="2">
        <v>2</v>
      </c>
    </row>
    <row r="34" spans="1:5">
      <c r="A34" s="3" t="s">
        <v>8</v>
      </c>
      <c r="B34" s="1">
        <v>5.5651367004640448</v>
      </c>
      <c r="C34" s="2">
        <f t="shared" ref="C34:C41" si="6">D33</f>
        <v>897.04788737000604</v>
      </c>
      <c r="D34" s="2">
        <f t="shared" ref="D34:D41" si="7">C34+B34</f>
        <v>902.61302407047003</v>
      </c>
      <c r="E34" s="2">
        <v>1</v>
      </c>
    </row>
    <row r="35" spans="1:5">
      <c r="A35" s="3" t="s">
        <v>6</v>
      </c>
      <c r="B35" s="1">
        <v>-57.008914922994109</v>
      </c>
      <c r="C35" s="2">
        <f t="shared" si="6"/>
        <v>902.61302407047003</v>
      </c>
      <c r="D35" s="2">
        <f t="shared" si="7"/>
        <v>845.60410914747592</v>
      </c>
      <c r="E35" s="2">
        <v>2</v>
      </c>
    </row>
    <row r="36" spans="1:5">
      <c r="A36" s="3" t="s">
        <v>7</v>
      </c>
      <c r="B36" s="1">
        <v>0.28298034234367719</v>
      </c>
      <c r="C36" s="2">
        <f t="shared" si="6"/>
        <v>845.60410914747592</v>
      </c>
      <c r="D36" s="2">
        <f t="shared" si="7"/>
        <v>845.88708948981957</v>
      </c>
      <c r="E36" s="2">
        <v>1</v>
      </c>
    </row>
    <row r="37" spans="1:5">
      <c r="A37" s="3" t="s">
        <v>9</v>
      </c>
      <c r="B37" s="1">
        <v>-103.59795498263287</v>
      </c>
      <c r="C37" s="2">
        <f t="shared" si="6"/>
        <v>845.88708948981957</v>
      </c>
      <c r="D37" s="2">
        <f t="shared" si="7"/>
        <v>742.28913450718665</v>
      </c>
      <c r="E37" s="2">
        <v>2</v>
      </c>
    </row>
    <row r="38" spans="1:5">
      <c r="A38" s="3" t="s">
        <v>12</v>
      </c>
      <c r="B38" s="1">
        <v>26.976420422122004</v>
      </c>
      <c r="C38" s="2">
        <f t="shared" si="6"/>
        <v>742.28913450718665</v>
      </c>
      <c r="D38" s="2">
        <f t="shared" si="7"/>
        <v>769.26555492930868</v>
      </c>
      <c r="E38" s="2">
        <v>1</v>
      </c>
    </row>
    <row r="39" spans="1:5">
      <c r="A39" s="3" t="s">
        <v>21</v>
      </c>
      <c r="B39" s="1">
        <v>9.4905684204533713E-3</v>
      </c>
      <c r="C39" s="2">
        <f t="shared" si="6"/>
        <v>769.26555492930868</v>
      </c>
      <c r="D39" s="2">
        <f t="shared" si="7"/>
        <v>769.27504549772914</v>
      </c>
      <c r="E39" s="2">
        <v>1</v>
      </c>
    </row>
    <row r="40" spans="1:5">
      <c r="A40" s="3" t="s">
        <v>18</v>
      </c>
      <c r="B40" s="1">
        <v>-1.2603726681622121</v>
      </c>
      <c r="C40" s="2">
        <f t="shared" si="6"/>
        <v>769.27504549772914</v>
      </c>
      <c r="D40" s="2">
        <f t="shared" si="7"/>
        <v>768.01467282956696</v>
      </c>
      <c r="E40" s="2">
        <v>2</v>
      </c>
    </row>
    <row r="41" spans="1:5">
      <c r="A41" s="3" t="s">
        <v>23</v>
      </c>
      <c r="B41" s="1">
        <v>2.2179903721121086</v>
      </c>
      <c r="C41" s="2">
        <f t="shared" si="6"/>
        <v>768.01467282956696</v>
      </c>
      <c r="D41" s="2">
        <f t="shared" si="7"/>
        <v>770.23266320167909</v>
      </c>
      <c r="E41" s="2">
        <v>1</v>
      </c>
    </row>
    <row r="42" spans="1:5">
      <c r="A42">
        <v>2023</v>
      </c>
      <c r="B42" s="2">
        <v>770.23266320167909</v>
      </c>
      <c r="C42" s="2">
        <v>0</v>
      </c>
      <c r="D42" s="2">
        <v>770.23266320167909</v>
      </c>
      <c r="E42" s="2">
        <v>0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CCD6E2-A35E-424B-AB08-9CB16F22101A}">
  <dimension ref="A1:G10"/>
  <sheetViews>
    <sheetView workbookViewId="0">
      <selection activeCell="A3" sqref="A3"/>
    </sheetView>
  </sheetViews>
  <sheetFormatPr baseColWidth="10" defaultColWidth="9" defaultRowHeight="16"/>
  <cols>
    <col min="1" max="1" width="20.6640625" customWidth="1"/>
    <col min="6" max="7" width="9" style="4"/>
  </cols>
  <sheetData>
    <row r="1" spans="1:7">
      <c r="A1" t="s">
        <v>0</v>
      </c>
      <c r="B1" t="s">
        <v>1</v>
      </c>
      <c r="C1" t="s">
        <v>2</v>
      </c>
      <c r="D1" t="s">
        <v>3</v>
      </c>
      <c r="F1" s="5"/>
      <c r="G1" s="5"/>
    </row>
    <row r="2" spans="1:7">
      <c r="A2">
        <v>1980</v>
      </c>
      <c r="B2" s="7">
        <v>42.952159768431542</v>
      </c>
      <c r="C2" s="2">
        <v>0</v>
      </c>
      <c r="D2" s="7">
        <v>42.952159768431542</v>
      </c>
    </row>
    <row r="3" spans="1:7">
      <c r="A3" s="8" t="s">
        <v>24</v>
      </c>
      <c r="B3" s="2">
        <f>D4-D2</f>
        <v>25.597845125818651</v>
      </c>
      <c r="C3" s="2">
        <f>D2</f>
        <v>42.952159768431542</v>
      </c>
      <c r="D3" s="2">
        <f>D4</f>
        <v>68.550004894250193</v>
      </c>
    </row>
    <row r="4" spans="1:7">
      <c r="A4">
        <v>1990</v>
      </c>
      <c r="B4" s="7">
        <v>68.550004894250193</v>
      </c>
      <c r="C4" s="2">
        <v>0</v>
      </c>
      <c r="D4" s="7">
        <v>68.550004894250193</v>
      </c>
    </row>
    <row r="5" spans="1:7">
      <c r="A5" s="1" t="s">
        <v>22</v>
      </c>
      <c r="B5" s="1">
        <f>D6-D4</f>
        <v>11.179417507647102</v>
      </c>
      <c r="C5" s="2">
        <f t="shared" ref="C4:C10" si="0">D4</f>
        <v>68.550004894250193</v>
      </c>
      <c r="D5" s="7">
        <v>79.729422401897295</v>
      </c>
    </row>
    <row r="6" spans="1:7">
      <c r="A6">
        <v>2000</v>
      </c>
      <c r="B6" s="7">
        <v>79.729422401897295</v>
      </c>
      <c r="C6" s="2">
        <v>0</v>
      </c>
      <c r="D6" s="7">
        <v>79.729422401897295</v>
      </c>
    </row>
    <row r="7" spans="1:7" s="1" customFormat="1">
      <c r="A7" s="1" t="s">
        <v>22</v>
      </c>
      <c r="B7" s="1">
        <f>D8-D6</f>
        <v>26.66168858238386</v>
      </c>
      <c r="C7" s="2">
        <f t="shared" si="0"/>
        <v>79.729422401897295</v>
      </c>
      <c r="D7" s="7">
        <v>106.39111098428116</v>
      </c>
      <c r="F7" s="4"/>
      <c r="G7" s="4"/>
    </row>
    <row r="8" spans="1:7">
      <c r="A8">
        <v>2010</v>
      </c>
      <c r="B8" s="7">
        <v>106.39111098428116</v>
      </c>
      <c r="C8" s="2">
        <v>0</v>
      </c>
      <c r="D8" s="7">
        <v>106.39111098428116</v>
      </c>
    </row>
    <row r="9" spans="1:7">
      <c r="A9" s="1" t="s">
        <v>22</v>
      </c>
      <c r="B9" s="1">
        <f>D10-D8</f>
        <v>-21.975248835889261</v>
      </c>
      <c r="C9" s="2">
        <f t="shared" si="0"/>
        <v>106.39111098428116</v>
      </c>
      <c r="D9" s="7">
        <v>84.415862148391895</v>
      </c>
    </row>
    <row r="10" spans="1:7">
      <c r="A10">
        <v>2023</v>
      </c>
      <c r="B10" s="7">
        <v>84.415862148391895</v>
      </c>
      <c r="C10" s="2">
        <v>0</v>
      </c>
      <c r="D10" s="7">
        <v>84.415862148391895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B89987-D68A-F248-9419-1D3060FDC95B}">
  <dimension ref="A1:F45"/>
  <sheetViews>
    <sheetView workbookViewId="0">
      <selection activeCell="A2" sqref="A2:B45"/>
    </sheetView>
  </sheetViews>
  <sheetFormatPr baseColWidth="10" defaultRowHeight="16"/>
  <cols>
    <col min="1" max="3" width="10.83203125" style="4"/>
  </cols>
  <sheetData>
    <row r="1" spans="1:6">
      <c r="A1" s="5" t="s">
        <v>13</v>
      </c>
      <c r="B1" s="5" t="s">
        <v>14</v>
      </c>
      <c r="C1" s="5"/>
      <c r="D1" t="s">
        <v>15</v>
      </c>
      <c r="E1" s="3" t="s">
        <v>16</v>
      </c>
      <c r="F1" s="3" t="s">
        <v>17</v>
      </c>
    </row>
    <row r="2" spans="1:6">
      <c r="A2" s="4">
        <v>2023</v>
      </c>
      <c r="B2" s="4">
        <v>632.03559999999993</v>
      </c>
      <c r="D2">
        <v>1980</v>
      </c>
      <c r="E2">
        <v>618.85068667860321</v>
      </c>
      <c r="F2">
        <v>661.80284644703477</v>
      </c>
    </row>
    <row r="3" spans="1:6">
      <c r="A3" s="4">
        <v>2022</v>
      </c>
      <c r="B3" s="4">
        <v>623.4212</v>
      </c>
      <c r="D3">
        <v>1981</v>
      </c>
      <c r="E3">
        <v>611.50340023610283</v>
      </c>
      <c r="F3">
        <v>652.34795531669852</v>
      </c>
    </row>
    <row r="4" spans="1:6">
      <c r="A4" s="4">
        <v>2021</v>
      </c>
      <c r="B4" s="4">
        <v>622.33749999999998</v>
      </c>
      <c r="D4">
        <v>1982</v>
      </c>
      <c r="E4">
        <v>616.00875693044418</v>
      </c>
      <c r="F4">
        <v>659.6299639357419</v>
      </c>
    </row>
    <row r="5" spans="1:6">
      <c r="A5" s="4">
        <v>2020</v>
      </c>
      <c r="B5" s="4">
        <v>606.77859999999998</v>
      </c>
      <c r="D5">
        <v>1983</v>
      </c>
      <c r="E5">
        <v>624.63076372823991</v>
      </c>
      <c r="F5">
        <v>673.35304358684743</v>
      </c>
    </row>
    <row r="6" spans="1:6">
      <c r="A6" s="4">
        <v>2019</v>
      </c>
      <c r="B6" s="4">
        <v>603.98919999999998</v>
      </c>
      <c r="D6">
        <v>1984</v>
      </c>
      <c r="E6">
        <v>633.7137977705022</v>
      </c>
      <c r="F6">
        <v>687.46083245315663</v>
      </c>
    </row>
    <row r="7" spans="1:6">
      <c r="A7" s="4">
        <v>2018</v>
      </c>
      <c r="B7" s="4">
        <v>600.74339999999995</v>
      </c>
      <c r="D7">
        <v>1985</v>
      </c>
      <c r="E7">
        <v>617.08792232998826</v>
      </c>
      <c r="F7">
        <v>666.246026199874</v>
      </c>
    </row>
    <row r="8" spans="1:6">
      <c r="A8" s="4">
        <v>2017</v>
      </c>
      <c r="B8" s="4">
        <v>605.98789999999997</v>
      </c>
      <c r="D8">
        <v>1986</v>
      </c>
      <c r="E8">
        <v>622.7295123909829</v>
      </c>
      <c r="F8">
        <v>670.76870143765882</v>
      </c>
    </row>
    <row r="9" spans="1:6">
      <c r="A9" s="4">
        <v>2016</v>
      </c>
      <c r="B9" s="4">
        <v>607.89559999999994</v>
      </c>
      <c r="D9">
        <v>1987</v>
      </c>
      <c r="E9">
        <v>634.46590512452678</v>
      </c>
      <c r="F9">
        <v>694.03298448275677</v>
      </c>
    </row>
    <row r="10" spans="1:6">
      <c r="A10" s="4">
        <v>2015</v>
      </c>
      <c r="B10" s="4">
        <v>609.6893</v>
      </c>
      <c r="D10">
        <v>1988</v>
      </c>
      <c r="E10">
        <v>636.49562965783105</v>
      </c>
      <c r="F10">
        <v>702.07867954822393</v>
      </c>
    </row>
    <row r="11" spans="1:6">
      <c r="A11" s="4">
        <v>2014</v>
      </c>
      <c r="B11" s="4">
        <v>587.6087</v>
      </c>
      <c r="D11">
        <v>1989</v>
      </c>
      <c r="E11">
        <v>653.11903948226495</v>
      </c>
      <c r="F11">
        <v>719.85975749641034</v>
      </c>
    </row>
    <row r="12" spans="1:6">
      <c r="A12" s="4">
        <v>2013</v>
      </c>
      <c r="B12" s="4">
        <v>578.37810000000002</v>
      </c>
      <c r="D12">
        <v>1990</v>
      </c>
      <c r="E12">
        <v>667.17291757871089</v>
      </c>
      <c r="F12">
        <v>735.72292247296105</v>
      </c>
    </row>
    <row r="13" spans="1:6">
      <c r="A13" s="4">
        <v>2012</v>
      </c>
      <c r="B13" s="4">
        <v>558.56619999999998</v>
      </c>
      <c r="D13">
        <v>1991</v>
      </c>
      <c r="E13">
        <v>681.1498327238844</v>
      </c>
      <c r="F13">
        <v>751.18434777336336</v>
      </c>
    </row>
    <row r="14" spans="1:6">
      <c r="A14" s="4">
        <v>2011</v>
      </c>
      <c r="B14" s="4">
        <v>532.76800000000003</v>
      </c>
      <c r="D14">
        <v>1992</v>
      </c>
      <c r="E14">
        <v>680.50284152597237</v>
      </c>
      <c r="F14">
        <v>752.45015307676988</v>
      </c>
    </row>
    <row r="15" spans="1:6">
      <c r="A15" s="4">
        <v>2010</v>
      </c>
      <c r="B15" s="4">
        <v>504.07089999999994</v>
      </c>
      <c r="D15">
        <v>1993</v>
      </c>
      <c r="E15">
        <v>660.05898627022827</v>
      </c>
      <c r="F15">
        <v>723.95166785927893</v>
      </c>
    </row>
    <row r="16" spans="1:6">
      <c r="A16" s="4">
        <v>2009</v>
      </c>
      <c r="B16" s="4">
        <v>485.25139999999999</v>
      </c>
      <c r="D16">
        <v>1994</v>
      </c>
      <c r="E16">
        <v>660.20482328855826</v>
      </c>
      <c r="F16">
        <v>727.04299014248409</v>
      </c>
    </row>
    <row r="17" spans="1:6">
      <c r="A17" s="4">
        <v>2008</v>
      </c>
      <c r="B17" s="4">
        <v>477.63300000000004</v>
      </c>
      <c r="D17">
        <v>1995</v>
      </c>
      <c r="E17">
        <v>682.20481707950114</v>
      </c>
      <c r="F17">
        <v>766.42387860109193</v>
      </c>
    </row>
    <row r="18" spans="1:6">
      <c r="A18" s="4">
        <v>2007</v>
      </c>
      <c r="B18" s="4">
        <v>450.99510000000004</v>
      </c>
      <c r="D18">
        <v>1996</v>
      </c>
      <c r="E18">
        <v>702.60427340265187</v>
      </c>
      <c r="F18">
        <v>792.19262544538742</v>
      </c>
    </row>
    <row r="19" spans="1:6">
      <c r="A19" s="4">
        <v>2006</v>
      </c>
      <c r="B19" s="4">
        <v>441.78719999999998</v>
      </c>
      <c r="D19">
        <v>1997</v>
      </c>
      <c r="E19">
        <v>709.01426663645964</v>
      </c>
      <c r="F19">
        <v>791.33986668651983</v>
      </c>
    </row>
    <row r="20" spans="1:6">
      <c r="A20" s="4">
        <v>2005</v>
      </c>
      <c r="B20" s="4">
        <v>417.39889999999997</v>
      </c>
      <c r="D20">
        <v>1998</v>
      </c>
      <c r="E20">
        <v>707.43633773913632</v>
      </c>
      <c r="F20">
        <v>789.63355935365018</v>
      </c>
    </row>
    <row r="21" spans="1:6">
      <c r="A21" s="4">
        <v>2004</v>
      </c>
      <c r="B21" s="4">
        <v>401.32649999999995</v>
      </c>
      <c r="D21">
        <v>1999</v>
      </c>
      <c r="E21">
        <v>722.89328772494923</v>
      </c>
      <c r="F21">
        <v>809.45437568922955</v>
      </c>
    </row>
    <row r="22" spans="1:6">
      <c r="A22" s="4">
        <v>2003</v>
      </c>
      <c r="B22" s="4">
        <v>362.97430000000003</v>
      </c>
      <c r="D22">
        <v>2000</v>
      </c>
      <c r="E22">
        <v>711.69879661338098</v>
      </c>
      <c r="F22">
        <v>791.42821901527827</v>
      </c>
    </row>
    <row r="23" spans="1:6">
      <c r="A23" s="4">
        <v>2002</v>
      </c>
      <c r="B23" s="4">
        <v>386.1361</v>
      </c>
      <c r="D23">
        <v>2001</v>
      </c>
      <c r="E23">
        <v>703.36689598285182</v>
      </c>
      <c r="F23">
        <v>781.46624964675289</v>
      </c>
    </row>
    <row r="24" spans="1:6">
      <c r="A24" s="4">
        <v>2001</v>
      </c>
      <c r="B24" s="4">
        <v>385.54140000000001</v>
      </c>
      <c r="D24">
        <v>2002</v>
      </c>
      <c r="E24">
        <v>703.4856853140725</v>
      </c>
      <c r="F24">
        <v>791.99961210995536</v>
      </c>
    </row>
    <row r="25" spans="1:6">
      <c r="A25" s="4">
        <v>2000</v>
      </c>
      <c r="B25" s="4">
        <v>393.54330000000004</v>
      </c>
      <c r="D25">
        <v>2003</v>
      </c>
      <c r="E25">
        <v>678.74415055995814</v>
      </c>
      <c r="F25">
        <v>768.06472353932668</v>
      </c>
    </row>
    <row r="26" spans="1:6">
      <c r="A26" s="4">
        <v>1999</v>
      </c>
      <c r="B26" s="4">
        <v>440.45319999999998</v>
      </c>
      <c r="D26">
        <v>2004</v>
      </c>
      <c r="E26">
        <v>718.48393109217318</v>
      </c>
      <c r="F26">
        <v>811.34000767726434</v>
      </c>
    </row>
    <row r="27" spans="1:6">
      <c r="A27" s="4">
        <v>1998</v>
      </c>
      <c r="B27" s="4">
        <v>441.3931</v>
      </c>
      <c r="D27">
        <v>2005</v>
      </c>
      <c r="E27">
        <v>733.66984009383054</v>
      </c>
      <c r="F27">
        <v>827.34983102146862</v>
      </c>
    </row>
    <row r="28" spans="1:6">
      <c r="A28" s="4">
        <v>1997</v>
      </c>
      <c r="B28" s="4">
        <v>428.33200000000005</v>
      </c>
      <c r="D28">
        <v>2006</v>
      </c>
      <c r="E28">
        <v>743.31687715905605</v>
      </c>
      <c r="F28">
        <v>839.44268188337844</v>
      </c>
    </row>
    <row r="29" spans="1:6">
      <c r="A29" s="4">
        <v>1996</v>
      </c>
      <c r="B29" s="4">
        <v>433.14279999999997</v>
      </c>
      <c r="D29">
        <v>2007</v>
      </c>
      <c r="E29">
        <v>749.85110841695132</v>
      </c>
      <c r="F29">
        <v>850.98957258813459</v>
      </c>
    </row>
    <row r="30" spans="1:6">
      <c r="A30" s="4">
        <v>1995</v>
      </c>
      <c r="B30" s="4">
        <v>399.41900000000004</v>
      </c>
      <c r="D30">
        <v>2008</v>
      </c>
      <c r="E30">
        <v>779.20213246119886</v>
      </c>
      <c r="F30">
        <v>882.26380629483583</v>
      </c>
    </row>
    <row r="31" spans="1:6">
      <c r="A31" s="4">
        <v>1994</v>
      </c>
      <c r="B31" s="4">
        <v>374.505</v>
      </c>
      <c r="D31">
        <v>2009</v>
      </c>
      <c r="E31">
        <v>794.24795871406081</v>
      </c>
      <c r="F31">
        <v>898.11764000508742</v>
      </c>
    </row>
    <row r="32" spans="1:6">
      <c r="A32" s="4">
        <v>1993</v>
      </c>
      <c r="B32" s="4">
        <v>386.608</v>
      </c>
      <c r="D32">
        <v>2010</v>
      </c>
      <c r="E32">
        <v>818.13832616538502</v>
      </c>
      <c r="F32">
        <v>924.52943714966614</v>
      </c>
    </row>
    <row r="33" spans="1:6">
      <c r="A33" s="4">
        <v>1992</v>
      </c>
      <c r="B33" s="4">
        <v>383.19199999999995</v>
      </c>
      <c r="D33">
        <v>2011</v>
      </c>
      <c r="E33">
        <v>749.70185983042086</v>
      </c>
      <c r="F33">
        <v>857.62497091352282</v>
      </c>
    </row>
    <row r="34" spans="1:6">
      <c r="A34" s="4">
        <v>1991</v>
      </c>
      <c r="B34" s="4">
        <v>378.53899999999993</v>
      </c>
      <c r="D34">
        <v>2012</v>
      </c>
      <c r="E34">
        <v>767.87679751365363</v>
      </c>
      <c r="F34">
        <v>877.37181294387926</v>
      </c>
    </row>
    <row r="35" spans="1:6">
      <c r="A35" s="4">
        <v>1990</v>
      </c>
      <c r="B35" s="4">
        <v>384.37940000000003</v>
      </c>
      <c r="D35">
        <v>2013</v>
      </c>
      <c r="E35">
        <v>737.19769841822756</v>
      </c>
      <c r="F35">
        <v>847.28433281652372</v>
      </c>
    </row>
    <row r="36" spans="1:6">
      <c r="A36" s="4">
        <v>1989</v>
      </c>
      <c r="B36" s="4">
        <v>349.86500000000001</v>
      </c>
      <c r="D36">
        <v>2014</v>
      </c>
      <c r="E36">
        <v>723.26588742819217</v>
      </c>
      <c r="F36">
        <v>833.66628196623662</v>
      </c>
    </row>
    <row r="37" spans="1:6">
      <c r="A37" s="4">
        <v>1988</v>
      </c>
      <c r="B37" s="4">
        <v>331.8904</v>
      </c>
      <c r="D37">
        <v>2015</v>
      </c>
      <c r="E37">
        <v>730.62609942426275</v>
      </c>
      <c r="F37">
        <v>840.21623379067341</v>
      </c>
    </row>
    <row r="38" spans="1:6">
      <c r="A38" s="4">
        <v>1987</v>
      </c>
      <c r="B38" s="4">
        <v>342.00599999999997</v>
      </c>
      <c r="D38">
        <v>2016</v>
      </c>
      <c r="E38">
        <v>736.72323756499588</v>
      </c>
      <c r="F38">
        <v>844.15667106286935</v>
      </c>
    </row>
    <row r="39" spans="1:6">
      <c r="A39" s="4">
        <v>1986</v>
      </c>
      <c r="B39" s="4">
        <v>333.12</v>
      </c>
      <c r="D39">
        <v>2017</v>
      </c>
      <c r="E39">
        <v>727.85500411554085</v>
      </c>
      <c r="F39">
        <v>832.13768407960788</v>
      </c>
    </row>
    <row r="40" spans="1:6">
      <c r="A40" s="4">
        <v>1985</v>
      </c>
      <c r="B40" s="4">
        <v>318.2</v>
      </c>
      <c r="D40">
        <v>2018</v>
      </c>
      <c r="E40">
        <v>696.35749581995231</v>
      </c>
      <c r="F40">
        <v>796.12804557216816</v>
      </c>
    </row>
    <row r="41" spans="1:6">
      <c r="A41" s="4">
        <v>1984</v>
      </c>
      <c r="B41" s="4">
        <v>339.48</v>
      </c>
      <c r="D41">
        <v>2019</v>
      </c>
      <c r="E41">
        <v>683.41273409433313</v>
      </c>
      <c r="F41">
        <v>777.84555943647069</v>
      </c>
    </row>
    <row r="42" spans="1:6">
      <c r="A42" s="4">
        <v>1983</v>
      </c>
      <c r="B42" s="4">
        <v>318.45999999999998</v>
      </c>
      <c r="D42">
        <v>2020</v>
      </c>
      <c r="E42">
        <v>694.06309903200781</v>
      </c>
      <c r="F42">
        <v>784.89420753006584</v>
      </c>
    </row>
    <row r="43" spans="1:6">
      <c r="A43" s="4">
        <v>1982</v>
      </c>
      <c r="B43" s="4">
        <v>290.625</v>
      </c>
      <c r="D43">
        <v>2021</v>
      </c>
      <c r="E43">
        <v>687.00632034655234</v>
      </c>
      <c r="F43">
        <v>775.40302742457038</v>
      </c>
    </row>
    <row r="44" spans="1:6">
      <c r="A44" s="4">
        <v>1981</v>
      </c>
      <c r="B44" s="4">
        <v>262.8</v>
      </c>
      <c r="D44">
        <v>2022</v>
      </c>
      <c r="E44">
        <v>686.07528687091929</v>
      </c>
      <c r="F44">
        <v>771.98770727437204</v>
      </c>
    </row>
    <row r="45" spans="1:6">
      <c r="A45" s="4">
        <v>1980</v>
      </c>
      <c r="B45" s="4">
        <v>257.70999999999998</v>
      </c>
      <c r="D45">
        <v>2023</v>
      </c>
      <c r="E45">
        <v>685.81680105328712</v>
      </c>
      <c r="F45">
        <v>770.23266320167897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Sheet3</vt:lpstr>
      <vt:lpstr>Sheet2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Jingjing Dong</dc:creator>
  <cp:lastModifiedBy>Jingjing Dong</cp:lastModifiedBy>
  <dcterms:created xsi:type="dcterms:W3CDTF">2025-07-19T21:45:00Z</dcterms:created>
  <dcterms:modified xsi:type="dcterms:W3CDTF">2026-03-24T09:41:26Z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2052-12.1.23540.23540</vt:lpwstr>
  </property>
  <property fmtid="{D5CDD505-2E9C-101B-9397-08002B2CF9AE}" pid="3" name="ICV">
    <vt:lpwstr>C52A90232078523B569DF168633DB666_43</vt:lpwstr>
  </property>
</Properties>
</file>